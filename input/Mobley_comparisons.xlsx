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mgimond\aomc\input\"/>
    </mc:Choice>
  </mc:AlternateContent>
  <xr:revisionPtr revIDLastSave="0" documentId="13_ncr:1_{540AE111-09CA-41EC-A665-2BFF5A60F8A2}" xr6:coauthVersionLast="47" xr6:coauthVersionMax="47" xr10:uidLastSave="{00000000-0000-0000-0000-000000000000}"/>
  <bookViews>
    <workbookView xWindow="11570" yWindow="10190" windowWidth="21960" windowHeight="12640" xr2:uid="{3BE46ACD-53F2-4C9A-9617-386117E62B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G25" i="1"/>
  <c r="F26" i="1"/>
  <c r="F25" i="1"/>
  <c r="E26" i="1"/>
  <c r="G23" i="1"/>
  <c r="G22" i="1"/>
  <c r="G21" i="1"/>
  <c r="F23" i="1"/>
  <c r="F22" i="1"/>
  <c r="F21" i="1"/>
  <c r="E23" i="1"/>
  <c r="E22" i="1"/>
</calcChain>
</file>

<file path=xl/sharedStrings.xml><?xml version="1.0" encoding="utf-8"?>
<sst xmlns="http://schemas.openxmlformats.org/spreadsheetml/2006/main" count="21" uniqueCount="15">
  <si>
    <t>Mobley 1  s/(a+s) =0.2</t>
  </si>
  <si>
    <t>Mobley 1  s/(a+s) =0.9</t>
  </si>
  <si>
    <t>Ed</t>
  </si>
  <si>
    <t>Eou</t>
  </si>
  <si>
    <t>Lu</t>
  </si>
  <si>
    <t>Mobley</t>
  </si>
  <si>
    <t>Mobley 2  s/(a+s) =0.2</t>
  </si>
  <si>
    <t>Mobley 2  s/(a+s) =0.9</t>
  </si>
  <si>
    <t>Mobley s/mean (for about  7 models)</t>
  </si>
  <si>
    <t>5m</t>
  </si>
  <si>
    <t>25m</t>
  </si>
  <si>
    <t>60m</t>
  </si>
  <si>
    <t>Mobley 3</t>
  </si>
  <si>
    <t>Mobley 6</t>
  </si>
  <si>
    <t>AOMC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</si>
</sst>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5B62-72D9-4F0B-92B8-DCDE774A5D1B}">
  <dimension ref="A1:K26"/>
  <sheetViews>
    <sheetView tabSelected="1" topLeftCell="A7" workbookViewId="0">
      <selection activeCell="M17" sqref="M17"/>
    </sheetView>
  </sheetViews>
  <sheetFormatPr defaultRowHeight="14.5" x14ac:dyDescent="0.35"/>
  <cols>
    <col min="1" max="1" width="19.26953125" customWidth="1"/>
    <col min="3" max="3" width="9.81640625" bestFit="1" customWidth="1"/>
    <col min="4" max="4" width="11.54296875" customWidth="1"/>
    <col min="5" max="6" width="10.81640625" style="1" bestFit="1" customWidth="1"/>
    <col min="7" max="7" width="11.81640625" style="1" bestFit="1" customWidth="1"/>
  </cols>
  <sheetData>
    <row r="1" spans="1:11" x14ac:dyDescent="0.35">
      <c r="B1" t="s">
        <v>14</v>
      </c>
      <c r="E1" s="1" t="s">
        <v>5</v>
      </c>
      <c r="I1" t="s">
        <v>8</v>
      </c>
    </row>
    <row r="2" spans="1:11" x14ac:dyDescent="0.35">
      <c r="B2" t="s">
        <v>2</v>
      </c>
      <c r="C2" t="s">
        <v>3</v>
      </c>
      <c r="D2" t="s">
        <v>4</v>
      </c>
      <c r="E2" s="1" t="s">
        <v>2</v>
      </c>
      <c r="F2" s="1" t="s">
        <v>3</v>
      </c>
      <c r="G2" s="1" t="s">
        <v>4</v>
      </c>
      <c r="I2" t="s">
        <v>2</v>
      </c>
      <c r="J2" t="s">
        <v>3</v>
      </c>
      <c r="K2" t="s">
        <v>4</v>
      </c>
    </row>
    <row r="3" spans="1:11" x14ac:dyDescent="0.35">
      <c r="A3" t="s">
        <v>0</v>
      </c>
    </row>
    <row r="4" spans="1:11" x14ac:dyDescent="0.35">
      <c r="A4">
        <v>0.8</v>
      </c>
      <c r="B4">
        <v>0.14152200000000001</v>
      </c>
      <c r="C4">
        <v>1.3285E-2</v>
      </c>
      <c r="D4">
        <v>1.7060000000000001E-3</v>
      </c>
      <c r="E4" s="1">
        <v>0.14099999999999999</v>
      </c>
      <c r="F4" s="1">
        <v>1.34E-2</v>
      </c>
      <c r="G4" s="1">
        <v>1.72E-3</v>
      </c>
      <c r="I4">
        <v>1E-3</v>
      </c>
      <c r="J4">
        <v>3.0000000000000001E-3</v>
      </c>
      <c r="K4">
        <v>4.3999999999999997E-2</v>
      </c>
    </row>
    <row r="5" spans="1:11" x14ac:dyDescent="0.35">
      <c r="A5">
        <v>4</v>
      </c>
      <c r="B5">
        <v>1.07E-3</v>
      </c>
      <c r="C5">
        <v>9.2E-5</v>
      </c>
      <c r="D5">
        <v>1.34E-5</v>
      </c>
      <c r="E5" s="1">
        <v>1.07E-3</v>
      </c>
      <c r="F5" s="1">
        <v>1E-4</v>
      </c>
      <c r="G5" s="1">
        <v>1.3699999999999999E-5</v>
      </c>
      <c r="I5">
        <v>5.0000000000000001E-3</v>
      </c>
      <c r="J5">
        <v>3.9E-2</v>
      </c>
      <c r="K5">
        <v>0.28799999999999998</v>
      </c>
    </row>
    <row r="6" spans="1:11" x14ac:dyDescent="0.35">
      <c r="A6">
        <v>8</v>
      </c>
      <c r="B6">
        <v>3.0000000000000001E-6</v>
      </c>
      <c r="C6">
        <v>0</v>
      </c>
      <c r="D6">
        <v>0</v>
      </c>
      <c r="E6" s="1">
        <v>2.9299999999999999E-6</v>
      </c>
      <c r="F6" s="1">
        <v>2.9999999999999999E-7</v>
      </c>
      <c r="G6" s="1">
        <v>0</v>
      </c>
      <c r="I6">
        <v>0.10199999999999999</v>
      </c>
      <c r="J6">
        <v>0.308</v>
      </c>
      <c r="K6">
        <v>0.19700000000000001</v>
      </c>
    </row>
    <row r="7" spans="1:11" x14ac:dyDescent="0.35">
      <c r="A7" t="s">
        <v>1</v>
      </c>
    </row>
    <row r="8" spans="1:11" x14ac:dyDescent="0.35">
      <c r="A8">
        <v>0.1</v>
      </c>
      <c r="B8">
        <v>0.36593799999999999</v>
      </c>
      <c r="C8">
        <v>0.37189899999999998</v>
      </c>
      <c r="D8">
        <v>4.8563200000000001E-2</v>
      </c>
      <c r="E8" s="1">
        <v>0.36599999999999999</v>
      </c>
      <c r="F8" s="1">
        <v>0.372</v>
      </c>
      <c r="G8" s="1">
        <v>4.8500000000000001E-2</v>
      </c>
      <c r="I8">
        <v>2E-3</v>
      </c>
      <c r="J8">
        <v>5.0000000000000001E-3</v>
      </c>
      <c r="K8">
        <v>1.4999999999999999E-2</v>
      </c>
    </row>
    <row r="9" spans="1:11" x14ac:dyDescent="0.35">
      <c r="A9">
        <v>0.5</v>
      </c>
      <c r="B9">
        <v>4.3289000000000001E-2</v>
      </c>
      <c r="C9">
        <v>4.6199999999999998E-2</v>
      </c>
      <c r="D9">
        <v>5.8069999999999997E-3</v>
      </c>
      <c r="E9" s="1">
        <v>4.3299999999999998E-2</v>
      </c>
      <c r="F9" s="1">
        <v>4.3499999999999997E-2</v>
      </c>
      <c r="G9" s="1">
        <v>5.5900000000000004E-3</v>
      </c>
      <c r="I9">
        <v>3.0000000000000001E-3</v>
      </c>
      <c r="J9">
        <v>7.0000000000000001E-3</v>
      </c>
      <c r="K9">
        <v>5.1999999999999998E-2</v>
      </c>
    </row>
    <row r="10" spans="1:11" x14ac:dyDescent="0.35">
      <c r="A10">
        <v>1</v>
      </c>
      <c r="B10">
        <v>3.1470000000000001E-3</v>
      </c>
      <c r="C10">
        <v>3.1510000000000002E-3</v>
      </c>
      <c r="D10">
        <v>4.0529999999999999E-4</v>
      </c>
      <c r="E10" s="1">
        <v>3.16E-3</v>
      </c>
      <c r="F10" s="1">
        <v>3.2000000000000002E-3</v>
      </c>
      <c r="G10" s="1">
        <v>4.37E-4</v>
      </c>
      <c r="I10">
        <v>1.4999999999999999E-2</v>
      </c>
      <c r="J10">
        <v>3.7999999999999999E-2</v>
      </c>
      <c r="K10">
        <v>9.0999999999999998E-2</v>
      </c>
    </row>
    <row r="12" spans="1:11" x14ac:dyDescent="0.35">
      <c r="A12" t="s">
        <v>6</v>
      </c>
    </row>
    <row r="13" spans="1:11" x14ac:dyDescent="0.35">
      <c r="A13">
        <v>0.8</v>
      </c>
      <c r="B13">
        <v>0.16206799999999999</v>
      </c>
      <c r="C13">
        <v>9.7400000000000004E-4</v>
      </c>
      <c r="D13">
        <v>6.7799999999999995E-5</v>
      </c>
      <c r="E13" s="1">
        <v>0.16200000000000001</v>
      </c>
      <c r="F13" s="1">
        <v>9.6599999999999995E-4</v>
      </c>
      <c r="G13" s="1">
        <v>5.4700000000000001E-5</v>
      </c>
      <c r="I13">
        <v>0</v>
      </c>
      <c r="J13">
        <v>2.3E-2</v>
      </c>
      <c r="K13">
        <v>0.06</v>
      </c>
    </row>
    <row r="14" spans="1:11" x14ac:dyDescent="0.35">
      <c r="A14">
        <v>4</v>
      </c>
      <c r="B14">
        <v>2.2850000000000001E-3</v>
      </c>
      <c r="C14">
        <v>1.4E-5</v>
      </c>
      <c r="D14">
        <v>7.9999999999999996E-7</v>
      </c>
      <c r="E14" s="1">
        <v>2.2699999999999999E-3</v>
      </c>
      <c r="F14" s="1">
        <v>1.3699999999999999E-5</v>
      </c>
      <c r="G14" s="1">
        <v>6.2399999999999998E-7</v>
      </c>
      <c r="I14">
        <v>2E-3</v>
      </c>
      <c r="J14">
        <v>6.3E-2</v>
      </c>
      <c r="K14">
        <v>0.35499999999999998</v>
      </c>
    </row>
    <row r="15" spans="1:11" x14ac:dyDescent="0.35">
      <c r="A15">
        <v>8</v>
      </c>
      <c r="B15">
        <v>1.2999999999999999E-5</v>
      </c>
      <c r="C15">
        <v>0</v>
      </c>
      <c r="D15">
        <v>0</v>
      </c>
      <c r="E15" s="1">
        <v>1.2999999999999999E-5</v>
      </c>
      <c r="F15" s="1">
        <v>0</v>
      </c>
      <c r="G15" s="1">
        <v>0</v>
      </c>
      <c r="I15">
        <v>4.7E-2</v>
      </c>
      <c r="J15">
        <v>0.187</v>
      </c>
      <c r="K15">
        <v>0.248</v>
      </c>
    </row>
    <row r="16" spans="1:11" x14ac:dyDescent="0.35">
      <c r="A16" t="s">
        <v>7</v>
      </c>
    </row>
    <row r="17" spans="1:11" x14ac:dyDescent="0.35">
      <c r="A17">
        <v>0.1</v>
      </c>
      <c r="B17">
        <v>0.41350700000000001</v>
      </c>
      <c r="C17">
        <v>9.3312000000000006E-2</v>
      </c>
      <c r="D17">
        <v>7.0737999999999999E-3</v>
      </c>
      <c r="E17" s="1">
        <v>0.41299999999999998</v>
      </c>
      <c r="F17" s="1">
        <v>9.3100000000000002E-2</v>
      </c>
      <c r="G17" s="1">
        <v>6.9899999999999997E-3</v>
      </c>
      <c r="I17">
        <v>1E-3</v>
      </c>
      <c r="J17">
        <v>2.1000000000000001E-2</v>
      </c>
      <c r="K17">
        <v>6.3E-2</v>
      </c>
    </row>
    <row r="18" spans="1:11" x14ac:dyDescent="0.35">
      <c r="A18">
        <v>0.5</v>
      </c>
      <c r="B18">
        <v>0.18729899999999999</v>
      </c>
      <c r="C18">
        <v>4.6185999999999998E-2</v>
      </c>
      <c r="D18">
        <v>3.1966999999999998E-3</v>
      </c>
      <c r="E18" s="1">
        <v>0.187</v>
      </c>
      <c r="F18" s="1">
        <v>4.6300000000000001E-2</v>
      </c>
      <c r="G18" s="1">
        <v>3.29E-3</v>
      </c>
      <c r="I18">
        <v>5.0000000000000001E-3</v>
      </c>
      <c r="J18">
        <v>1.7000000000000001E-2</v>
      </c>
      <c r="K18">
        <v>5.5E-2</v>
      </c>
    </row>
    <row r="19" spans="1:11" x14ac:dyDescent="0.35">
      <c r="A19">
        <v>1</v>
      </c>
      <c r="B19">
        <v>6.8703E-2</v>
      </c>
      <c r="C19">
        <v>1.6323000000000001E-2</v>
      </c>
      <c r="D19">
        <v>1.1839999999999999E-3</v>
      </c>
      <c r="E19" s="1">
        <v>6.8500000000000005E-2</v>
      </c>
      <c r="F19" s="1">
        <v>1.6500000000000001E-2</v>
      </c>
      <c r="G19" s="1">
        <v>1.2099999999999999E-3</v>
      </c>
      <c r="I19">
        <v>0.01</v>
      </c>
      <c r="J19">
        <v>1.4E-2</v>
      </c>
      <c r="K19">
        <v>0.109</v>
      </c>
    </row>
    <row r="20" spans="1:11" x14ac:dyDescent="0.35">
      <c r="A20" t="s">
        <v>12</v>
      </c>
    </row>
    <row r="21" spans="1:11" x14ac:dyDescent="0.35">
      <c r="A21" t="s">
        <v>9</v>
      </c>
      <c r="E21" s="1">
        <v>0.23</v>
      </c>
      <c r="F21" s="1">
        <f>4.34*10^-2</f>
        <v>4.3400000000000001E-2</v>
      </c>
      <c r="G21" s="1">
        <f>3.13*10^-3</f>
        <v>3.13E-3</v>
      </c>
      <c r="I21">
        <v>6.0000000000000001E-3</v>
      </c>
      <c r="J21">
        <v>2.5000000000000001E-2</v>
      </c>
      <c r="K21">
        <v>5.3999999999999999E-2</v>
      </c>
    </row>
    <row r="22" spans="1:11" x14ac:dyDescent="0.35">
      <c r="A22" t="s">
        <v>10</v>
      </c>
      <c r="E22" s="1">
        <f>1.62 * 10^-3</f>
        <v>1.6200000000000001E-3</v>
      </c>
      <c r="F22" s="1">
        <f>2.86*10^-4</f>
        <v>2.8600000000000001E-4</v>
      </c>
      <c r="G22" s="1">
        <f>2.12*10^-5</f>
        <v>2.1200000000000004E-5</v>
      </c>
      <c r="I22">
        <v>2.8000000000000001E-2</v>
      </c>
      <c r="J22">
        <v>3.7999999999999999E-2</v>
      </c>
      <c r="K22">
        <v>6.0999999999999999E-2</v>
      </c>
    </row>
    <row r="23" spans="1:11" x14ac:dyDescent="0.35">
      <c r="A23" t="s">
        <v>11</v>
      </c>
      <c r="E23" s="1">
        <f>5.23*10^-5</f>
        <v>5.2300000000000011E-5</v>
      </c>
      <c r="F23" s="1">
        <f>5.13*10^-6</f>
        <v>5.13E-6</v>
      </c>
      <c r="G23" s="1">
        <f>3.57*10^-7</f>
        <v>3.5699999999999998E-7</v>
      </c>
      <c r="I23">
        <v>7.0999999999999994E-2</v>
      </c>
      <c r="J23">
        <v>3.5999999999999997E-2</v>
      </c>
      <c r="K23">
        <v>0.434</v>
      </c>
    </row>
    <row r="24" spans="1:11" x14ac:dyDescent="0.35">
      <c r="A24" t="s">
        <v>13</v>
      </c>
    </row>
    <row r="25" spans="1:11" x14ac:dyDescent="0.35">
      <c r="A25">
        <v>0.8</v>
      </c>
      <c r="B25">
        <v>0.16203999999999999</v>
      </c>
      <c r="C25">
        <v>1E-3</v>
      </c>
      <c r="D25">
        <v>7.5599999999999994E-5</v>
      </c>
      <c r="E25" s="1">
        <v>0.16200000000000001</v>
      </c>
      <c r="F25" s="1">
        <f>9.811*10^-4</f>
        <v>9.8109999999999994E-4</v>
      </c>
      <c r="G25" s="1">
        <f>6.84*10^-5</f>
        <v>6.8400000000000009E-5</v>
      </c>
      <c r="I25">
        <v>0</v>
      </c>
      <c r="J25">
        <v>0.01</v>
      </c>
      <c r="K25">
        <v>0.02</v>
      </c>
    </row>
    <row r="26" spans="1:11" x14ac:dyDescent="0.35">
      <c r="A26">
        <v>4</v>
      </c>
      <c r="B26">
        <v>2.2859999999999998E-3</v>
      </c>
      <c r="C26">
        <v>2.2889999999999998E-3</v>
      </c>
      <c r="D26">
        <v>3.6620000000000001E-4</v>
      </c>
      <c r="E26" s="1">
        <f>2.28*10^-3</f>
        <v>2.2799999999999999E-3</v>
      </c>
      <c r="F26" s="1">
        <f>2.28*10^-3</f>
        <v>2.2799999999999999E-3</v>
      </c>
      <c r="G26" s="1">
        <f>3.6*10^-4</f>
        <v>3.6000000000000002E-4</v>
      </c>
      <c r="I26">
        <v>3.0000000000000001E-3</v>
      </c>
      <c r="J26">
        <v>2E-3</v>
      </c>
      <c r="K26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Manny Gimond</dc:creator>
  <cp:lastModifiedBy>Manny Gimond</cp:lastModifiedBy>
  <dcterms:created xsi:type="dcterms:W3CDTF">2025-12-06T20:51:19Z</dcterms:created>
  <dcterms:modified xsi:type="dcterms:W3CDTF">2025-12-08T00:12:09Z</dcterms:modified>
</cp:coreProperties>
</file>