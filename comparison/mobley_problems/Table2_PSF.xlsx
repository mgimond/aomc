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gimond\aomc\comparison\mobley_problems\"/>
    </mc:Choice>
  </mc:AlternateContent>
  <xr:revisionPtr revIDLastSave="0" documentId="13_ncr:1_{57F49C13-1656-4E7D-A027-9F24DFC2CE4D}" xr6:coauthVersionLast="47" xr6:coauthVersionMax="47" xr10:uidLastSave="{00000000-0000-0000-0000-000000000000}"/>
  <bookViews>
    <workbookView xWindow="13020" yWindow="830" windowWidth="19520" windowHeight="17590" xr2:uid="{4440DA83-5DDF-4FB4-932B-33639122618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K4" i="1"/>
  <c r="K3" i="1"/>
  <c r="K2" i="1"/>
  <c r="D56" i="1"/>
  <c r="D55" i="1"/>
  <c r="E55" i="1" s="1"/>
  <c r="D54" i="1"/>
  <c r="E54" i="1" s="1"/>
  <c r="D53" i="1"/>
  <c r="E53" i="1" s="1"/>
  <c r="E52" i="1"/>
  <c r="D52" i="1"/>
  <c r="D51" i="1"/>
  <c r="E51" i="1" s="1"/>
  <c r="D50" i="1"/>
  <c r="E50" i="1" s="1"/>
  <c r="D49" i="1"/>
  <c r="E49" i="1" s="1"/>
  <c r="D48" i="1"/>
  <c r="E48" i="1" s="1"/>
  <c r="D47" i="1"/>
  <c r="D46" i="1"/>
  <c r="E47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D36" i="1"/>
  <c r="E37" i="1" s="1"/>
  <c r="D35" i="1"/>
  <c r="E35" i="1" s="1"/>
  <c r="D34" i="1"/>
  <c r="E34" i="1" s="1"/>
  <c r="D33" i="1"/>
  <c r="E33" i="1" s="1"/>
  <c r="D32" i="1"/>
  <c r="D31" i="1"/>
  <c r="E32" i="1" s="1"/>
  <c r="D30" i="1"/>
  <c r="E30" i="1" s="1"/>
  <c r="D29" i="1"/>
  <c r="E29" i="1" s="1"/>
  <c r="E28" i="1"/>
  <c r="D28" i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D12" i="1"/>
  <c r="E12" i="1" s="1"/>
  <c r="D11" i="1"/>
  <c r="E11" i="1" s="1"/>
  <c r="D10" i="1"/>
  <c r="E10" i="1" s="1"/>
  <c r="D9" i="1"/>
  <c r="E9" i="1" s="1"/>
  <c r="D8" i="1"/>
  <c r="D7" i="1"/>
  <c r="E7" i="1" s="1"/>
  <c r="D6" i="1"/>
  <c r="E6" i="1" s="1"/>
  <c r="D5" i="1"/>
  <c r="E5" i="1" s="1"/>
  <c r="E4" i="1"/>
  <c r="D4" i="1"/>
  <c r="D3" i="1"/>
  <c r="E3" i="1" s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C45" i="1"/>
  <c r="C44" i="1"/>
  <c r="C43" i="1"/>
  <c r="C42" i="1"/>
  <c r="C41" i="1"/>
  <c r="C40" i="1"/>
  <c r="C39" i="1"/>
  <c r="C38" i="1"/>
  <c r="C36" i="1"/>
  <c r="C35" i="1"/>
  <c r="C34" i="1"/>
  <c r="C33" i="1"/>
  <c r="C32" i="1"/>
  <c r="C31" i="1"/>
  <c r="C30" i="1"/>
  <c r="C28" i="1"/>
  <c r="C27" i="1"/>
  <c r="C26" i="1"/>
  <c r="C25" i="1"/>
  <c r="C56" i="1"/>
  <c r="C55" i="1"/>
  <c r="C54" i="1"/>
  <c r="C53" i="1"/>
  <c r="C52" i="1"/>
  <c r="C51" i="1"/>
  <c r="C50" i="1"/>
  <c r="C49" i="1"/>
  <c r="C48" i="1"/>
  <c r="C47" i="1"/>
  <c r="C46" i="1"/>
  <c r="C37" i="1"/>
  <c r="C29" i="1"/>
  <c r="C24" i="1"/>
  <c r="C23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3" i="1" l="1"/>
  <c r="G4" i="1" s="1"/>
  <c r="F3" i="1"/>
  <c r="F4" i="1" s="1"/>
  <c r="F5" i="1" s="1"/>
  <c r="F6" i="1" s="1"/>
  <c r="F7" i="1" s="1"/>
  <c r="E2" i="1"/>
  <c r="F2" i="1" s="1"/>
  <c r="E31" i="1"/>
  <c r="E46" i="1"/>
  <c r="E8" i="1"/>
  <c r="E56" i="1"/>
  <c r="E13" i="1"/>
  <c r="E36" i="1"/>
  <c r="F8" i="1" l="1"/>
  <c r="F9" i="1" s="1"/>
  <c r="F10" i="1" s="1"/>
  <c r="F11" i="1" s="1"/>
  <c r="F12" i="1" s="1"/>
  <c r="F13" i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G5" i="1"/>
  <c r="G6" i="1" l="1"/>
  <c r="G7" i="1" l="1"/>
  <c r="G8" i="1" l="1"/>
  <c r="G9" i="1" l="1"/>
  <c r="G10" i="1" l="1"/>
  <c r="G11" i="1" l="1"/>
  <c r="G12" i="1" l="1"/>
  <c r="G13" i="1" l="1"/>
  <c r="G14" i="1" l="1"/>
  <c r="G15" i="1" l="1"/>
  <c r="G16" i="1" l="1"/>
  <c r="G17" i="1" l="1"/>
  <c r="G18" i="1" l="1"/>
  <c r="G19" i="1" l="1"/>
  <c r="G20" i="1" l="1"/>
  <c r="G21" i="1" l="1"/>
  <c r="G22" i="1" l="1"/>
  <c r="G23" i="1" l="1"/>
  <c r="G24" i="1" l="1"/>
  <c r="G25" i="1" l="1"/>
  <c r="G26" i="1" l="1"/>
  <c r="G27" i="1" l="1"/>
  <c r="G28" i="1" l="1"/>
  <c r="G29" i="1" l="1"/>
  <c r="G30" i="1" l="1"/>
  <c r="G31" i="1" l="1"/>
  <c r="G32" i="1" l="1"/>
  <c r="G33" i="1" l="1"/>
  <c r="G34" i="1" l="1"/>
  <c r="G35" i="1" l="1"/>
  <c r="G36" i="1" l="1"/>
  <c r="G37" i="1" l="1"/>
  <c r="G38" i="1" l="1"/>
  <c r="G39" i="1" l="1"/>
  <c r="G40" i="1" l="1"/>
  <c r="G41" i="1" l="1"/>
  <c r="G42" i="1" l="1"/>
  <c r="G43" i="1" l="1"/>
  <c r="G44" i="1" l="1"/>
  <c r="G45" i="1" l="1"/>
  <c r="G46" i="1" l="1"/>
  <c r="G47" i="1" l="1"/>
  <c r="G48" i="1" l="1"/>
  <c r="G49" i="1" l="1"/>
  <c r="G50" i="1" l="1"/>
  <c r="G51" i="1" l="1"/>
  <c r="G52" i="1" l="1"/>
  <c r="G53" i="1" l="1"/>
  <c r="G54" i="1" l="1"/>
  <c r="G55" i="1" l="1"/>
  <c r="G56" i="1" l="1"/>
  <c r="H55" i="1"/>
  <c r="H56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</calcChain>
</file>

<file path=xl/sharedStrings.xml><?xml version="1.0" encoding="utf-8"?>
<sst xmlns="http://schemas.openxmlformats.org/spreadsheetml/2006/main" count="14" uniqueCount="12">
  <si>
    <t>Angle</t>
  </si>
  <si>
    <t>rad</t>
  </si>
  <si>
    <t>Integrand</t>
  </si>
  <si>
    <t>Area</t>
  </si>
  <si>
    <t>NormInt</t>
  </si>
  <si>
    <t>CumIntegral</t>
  </si>
  <si>
    <t>FinalInt</t>
  </si>
  <si>
    <t>First integrand</t>
  </si>
  <si>
    <t>m=</t>
  </si>
  <si>
    <t>C=</t>
  </si>
  <si>
    <t xml:space="preserve">1st integral = 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</si>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</sst>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9EDA-C23D-447E-BC6D-1BE9771ED98F}">
  <dimension ref="A1:K56"/>
  <sheetViews>
    <sheetView tabSelected="1" workbookViewId="0">
      <selection activeCell="C56" sqref="C56"/>
    </sheetView>
  </sheetViews>
  <sheetFormatPr defaultRowHeight="14.5" x14ac:dyDescent="0.35"/>
  <cols>
    <col min="1" max="2" width="14.6328125" customWidth="1"/>
    <col min="3" max="3" width="10" customWidth="1"/>
    <col min="4" max="6" width="11.08984375" customWidth="1"/>
    <col min="7" max="7" width="11.08984375" style="4" customWidth="1"/>
    <col min="8" max="8" width="11.08984375" style="2" customWidth="1"/>
    <col min="10" max="10" width="11" customWidth="1"/>
  </cols>
  <sheetData>
    <row r="1" spans="1:11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s="4" t="s">
        <v>6</v>
      </c>
      <c r="H1" s="2" t="s">
        <v>4</v>
      </c>
      <c r="J1" t="s">
        <v>7</v>
      </c>
    </row>
    <row r="2" spans="1:11" x14ac:dyDescent="0.35">
      <c r="A2">
        <v>0.1</v>
      </c>
      <c r="B2">
        <f>A2*PI()/180</f>
        <v>1.7453292519943296E-3</v>
      </c>
      <c r="C2">
        <f>1.76661*10^3</f>
        <v>1766.6100000000001</v>
      </c>
      <c r="D2">
        <f>SIN(B2)*C2</f>
        <v>3.0833145444796117</v>
      </c>
      <c r="E2">
        <f>(D2/2)*B2</f>
        <v>2.6906995337899189E-3</v>
      </c>
      <c r="F2">
        <f>E2</f>
        <v>2.6906995337899189E-3</v>
      </c>
      <c r="G2" s="4">
        <f>K4</f>
        <v>5.1754758086467283E-2</v>
      </c>
      <c r="H2" s="2">
        <f>G2/$G$56</f>
        <v>5.1652873513785155E-2</v>
      </c>
      <c r="J2" t="s">
        <v>8</v>
      </c>
      <c r="K2">
        <f>( LN(C3)-LN(C2)) / (LN(B3)-LN(B2))</f>
        <v>-1.3466814265970226</v>
      </c>
    </row>
    <row r="3" spans="1:11" x14ac:dyDescent="0.35">
      <c r="A3">
        <v>0.12589</v>
      </c>
      <c r="B3">
        <f t="shared" ref="B3:B56" si="0">A3*PI()/180</f>
        <v>2.1971949953356615E-3</v>
      </c>
      <c r="C3">
        <f>1.29564*10^3</f>
        <v>1295.6399999999999</v>
      </c>
      <c r="D3">
        <f t="shared" ref="D3:D56" si="1">SIN(B3)*C3</f>
        <v>2.846771433211869</v>
      </c>
      <c r="E3">
        <f>(D3+D2)/2*(B3-B2)</f>
        <v>1.339801354193785E-3</v>
      </c>
      <c r="F3">
        <f>E3+F2</f>
        <v>4.0305008879837042E-3</v>
      </c>
      <c r="G3" s="4">
        <f>G2 + (D2 + D3)/2 * (B3-B2) * 2 * PI()</f>
        <v>6.0172978269676984E-2</v>
      </c>
      <c r="H3" s="2">
        <f t="shared" ref="H3:H56" si="2">G3/$G$56</f>
        <v>6.0054521563381993E-2</v>
      </c>
      <c r="J3" t="s">
        <v>9</v>
      </c>
      <c r="K3">
        <f xml:space="preserve"> EXP(LN(C2)-K2 * LN(B2))</f>
        <v>0.34105793885083857</v>
      </c>
    </row>
    <row r="4" spans="1:11" x14ac:dyDescent="0.35">
      <c r="A4">
        <v>0.15848999999999999</v>
      </c>
      <c r="B4">
        <f t="shared" si="0"/>
        <v>2.7661723314858127E-3</v>
      </c>
      <c r="C4">
        <f>9.50172*10^2</f>
        <v>950.17200000000003</v>
      </c>
      <c r="D4">
        <f t="shared" si="1"/>
        <v>2.6283361446721623</v>
      </c>
      <c r="E4">
        <f t="shared" ref="E4:E56" si="3">(D4+D3)/2*(B4-B3)</f>
        <v>1.5576060623999812E-3</v>
      </c>
      <c r="F4">
        <f t="shared" ref="F4:F56" si="4">E4+F3</f>
        <v>5.5881069503836856E-3</v>
      </c>
      <c r="G4" s="4">
        <f t="shared" ref="G4:G56" si="5">G3 + (D3 + D4)/2 * (B4-B3) * 2 * PI()</f>
        <v>6.9959705795322402E-2</v>
      </c>
      <c r="H4" s="2">
        <f t="shared" si="2"/>
        <v>6.9821982907737543E-2</v>
      </c>
      <c r="J4" t="s">
        <v>10</v>
      </c>
      <c r="K4">
        <f>2*PI() * K3*(B2^(K2 + 2)) / (K2 + 2)</f>
        <v>5.1754758086467283E-2</v>
      </c>
    </row>
    <row r="5" spans="1:11" x14ac:dyDescent="0.35">
      <c r="A5">
        <v>0.19953000000000001</v>
      </c>
      <c r="B5">
        <f t="shared" si="0"/>
        <v>3.4824554565042859E-3</v>
      </c>
      <c r="C5">
        <f>6.99092*10^2</f>
        <v>699.09199999999998</v>
      </c>
      <c r="D5">
        <f t="shared" si="1"/>
        <v>2.4345518291552675</v>
      </c>
      <c r="E5">
        <f t="shared" si="3"/>
        <v>1.8132306097557787E-3</v>
      </c>
      <c r="F5">
        <f t="shared" si="4"/>
        <v>7.4013375601394643E-3</v>
      </c>
      <c r="G5" s="4">
        <f t="shared" si="5"/>
        <v>8.1352569721068191E-2</v>
      </c>
      <c r="H5" s="2">
        <f t="shared" si="2"/>
        <v>8.1192418807237696E-2</v>
      </c>
    </row>
    <row r="6" spans="1:11" x14ac:dyDescent="0.35">
      <c r="A6">
        <v>0.25119000000000002</v>
      </c>
      <c r="B6">
        <f t="shared" si="0"/>
        <v>4.3840925480845569E-3</v>
      </c>
      <c r="C6">
        <f>5.13687*10^2</f>
        <v>513.68700000000001</v>
      </c>
      <c r="D6">
        <f t="shared" si="1"/>
        <v>2.252044134583298</v>
      </c>
      <c r="E6">
        <f t="shared" si="3"/>
        <v>2.1128043770785383E-3</v>
      </c>
      <c r="F6">
        <f t="shared" si="4"/>
        <v>9.5141419372180031E-3</v>
      </c>
      <c r="G6" s="4">
        <f t="shared" si="5"/>
        <v>9.4627711140072776E-2</v>
      </c>
      <c r="H6" s="2">
        <f t="shared" si="2"/>
        <v>9.4441426742852982E-2</v>
      </c>
    </row>
    <row r="7" spans="1:11" x14ac:dyDescent="0.35">
      <c r="A7">
        <v>0.31623000000000001</v>
      </c>
      <c r="B7">
        <f t="shared" si="0"/>
        <v>5.519254693581669E-3</v>
      </c>
      <c r="C7">
        <f>3.76373*10^2</f>
        <v>376.37299999999999</v>
      </c>
      <c r="D7">
        <f t="shared" si="1"/>
        <v>2.0772879002995843</v>
      </c>
      <c r="E7">
        <f t="shared" si="3"/>
        <v>2.4572469206435156E-3</v>
      </c>
      <c r="F7">
        <f t="shared" si="4"/>
        <v>1.1971388857861519E-2</v>
      </c>
      <c r="G7" s="4">
        <f t="shared" si="5"/>
        <v>0.11006704888797239</v>
      </c>
      <c r="H7" s="2">
        <f t="shared" si="2"/>
        <v>0.1098503705639505</v>
      </c>
    </row>
    <row r="8" spans="1:11" x14ac:dyDescent="0.35">
      <c r="A8">
        <v>0.39811000000000002</v>
      </c>
      <c r="B8">
        <f t="shared" si="0"/>
        <v>6.9483302851146254E-3</v>
      </c>
      <c r="C8">
        <f>2.76318*10^2</f>
        <v>276.31800000000004</v>
      </c>
      <c r="D8">
        <f t="shared" si="1"/>
        <v>1.9199332787981611</v>
      </c>
      <c r="E8">
        <f t="shared" si="3"/>
        <v>2.856165610503586E-3</v>
      </c>
      <c r="F8">
        <f t="shared" si="4"/>
        <v>1.4827554468365105E-2</v>
      </c>
      <c r="G8" s="4">
        <f t="shared" si="5"/>
        <v>0.12801286668676012</v>
      </c>
      <c r="H8" s="2">
        <f t="shared" si="2"/>
        <v>0.12776086017175711</v>
      </c>
    </row>
    <row r="9" spans="1:11" x14ac:dyDescent="0.35">
      <c r="A9">
        <v>0.50119000000000002</v>
      </c>
      <c r="B9">
        <f t="shared" si="0"/>
        <v>8.7474156780703808E-3</v>
      </c>
      <c r="C9">
        <f>2.18839*10^2</f>
        <v>218.839</v>
      </c>
      <c r="D9">
        <f t="shared" si="1"/>
        <v>1.9142512871380259</v>
      </c>
      <c r="E9">
        <f t="shared" si="3"/>
        <v>3.449012723236099E-3</v>
      </c>
      <c r="F9">
        <f t="shared" si="4"/>
        <v>1.8276567191601204E-2</v>
      </c>
      <c r="G9" s="4">
        <f t="shared" si="5"/>
        <v>0.14968365275367262</v>
      </c>
      <c r="H9" s="2">
        <f t="shared" si="2"/>
        <v>0.14938898506393425</v>
      </c>
    </row>
    <row r="10" spans="1:11" x14ac:dyDescent="0.35">
      <c r="A10">
        <v>0.63095999999999997</v>
      </c>
      <c r="B10">
        <f t="shared" si="0"/>
        <v>1.1012329448383422E-2</v>
      </c>
      <c r="C10">
        <f>1.44369*10^2</f>
        <v>144.369</v>
      </c>
      <c r="D10">
        <f t="shared" si="1"/>
        <v>1.5898068566618575</v>
      </c>
      <c r="E10">
        <f t="shared" si="3"/>
        <v>3.9681947709349552E-3</v>
      </c>
      <c r="F10">
        <f t="shared" si="4"/>
        <v>2.224476196253616E-2</v>
      </c>
      <c r="G10" s="4">
        <f t="shared" si="5"/>
        <v>0.174616555834438</v>
      </c>
      <c r="H10" s="2">
        <f t="shared" si="2"/>
        <v>0.17427280515658353</v>
      </c>
    </row>
    <row r="11" spans="1:11" x14ac:dyDescent="0.35">
      <c r="A11">
        <v>0.79432999999999998</v>
      </c>
      <c r="B11">
        <f t="shared" si="0"/>
        <v>1.3863673847366559E-2</v>
      </c>
      <c r="C11">
        <f>1.02241*10^2</f>
        <v>102.241</v>
      </c>
      <c r="D11">
        <f t="shared" si="1"/>
        <v>1.4173904727258513</v>
      </c>
      <c r="E11">
        <f t="shared" si="3"/>
        <v>4.2872776308933453E-3</v>
      </c>
      <c r="F11">
        <f t="shared" si="4"/>
        <v>2.6532039593429507E-2</v>
      </c>
      <c r="G11" s="4">
        <f t="shared" si="5"/>
        <v>0.20155431565266677</v>
      </c>
      <c r="H11" s="2">
        <f t="shared" si="2"/>
        <v>0.20115753521968316</v>
      </c>
    </row>
    <row r="12" spans="1:11" x14ac:dyDescent="0.35">
      <c r="A12">
        <v>1</v>
      </c>
      <c r="B12">
        <f t="shared" si="0"/>
        <v>1.7453292519943295E-2</v>
      </c>
      <c r="C12">
        <f>7.16082*10^1</f>
        <v>71.608199999999997</v>
      </c>
      <c r="D12">
        <f t="shared" si="1"/>
        <v>1.2497354106422851</v>
      </c>
      <c r="E12">
        <f t="shared" si="3"/>
        <v>4.7869824365254932E-3</v>
      </c>
      <c r="F12">
        <f t="shared" si="4"/>
        <v>3.1319022029954999E-2</v>
      </c>
      <c r="G12" s="4">
        <f t="shared" si="5"/>
        <v>0.23163181336357047</v>
      </c>
      <c r="H12" s="2">
        <f t="shared" si="2"/>
        <v>0.23117582227798361</v>
      </c>
    </row>
    <row r="13" spans="1:11" x14ac:dyDescent="0.35">
      <c r="A13">
        <v>1.2588999999999999</v>
      </c>
      <c r="B13">
        <f t="shared" si="0"/>
        <v>2.197194995335661E-2</v>
      </c>
      <c r="C13">
        <f>4.95803*10^1</f>
        <v>49.580300000000001</v>
      </c>
      <c r="D13">
        <f t="shared" si="1"/>
        <v>1.0892882200100971</v>
      </c>
      <c r="E13">
        <f t="shared" si="3"/>
        <v>5.2846232577883926E-3</v>
      </c>
      <c r="F13">
        <f t="shared" si="4"/>
        <v>3.6603645287743389E-2</v>
      </c>
      <c r="G13" s="4">
        <f t="shared" si="5"/>
        <v>0.26483608057088603</v>
      </c>
      <c r="H13" s="2">
        <f t="shared" si="2"/>
        <v>0.2643147234648458</v>
      </c>
    </row>
    <row r="14" spans="1:11" x14ac:dyDescent="0.35">
      <c r="A14">
        <v>1.5849</v>
      </c>
      <c r="B14">
        <f t="shared" si="0"/>
        <v>2.7661723314858128E-2</v>
      </c>
      <c r="C14">
        <f>3.39511*10^1</f>
        <v>33.951099999999997</v>
      </c>
      <c r="D14">
        <f t="shared" si="1"/>
        <v>0.93902617115474152</v>
      </c>
      <c r="E14">
        <f t="shared" si="3"/>
        <v>5.7703245957999348E-3</v>
      </c>
      <c r="F14">
        <f t="shared" si="4"/>
        <v>4.2373969883543326E-2</v>
      </c>
      <c r="G14" s="4">
        <f t="shared" si="5"/>
        <v>0.30109209928887315</v>
      </c>
      <c r="H14" s="2">
        <f t="shared" si="2"/>
        <v>0.30049936847516207</v>
      </c>
    </row>
    <row r="15" spans="1:11" x14ac:dyDescent="0.35">
      <c r="A15">
        <v>1.9953000000000001</v>
      </c>
      <c r="B15">
        <f t="shared" si="0"/>
        <v>3.4824554565042853E-2</v>
      </c>
      <c r="C15">
        <f>2.28129*10^1</f>
        <v>22.812899999999999</v>
      </c>
      <c r="D15">
        <f t="shared" si="1"/>
        <v>0.79428851260604083</v>
      </c>
      <c r="E15">
        <f t="shared" si="3"/>
        <v>6.2077202916228924E-3</v>
      </c>
      <c r="F15">
        <f t="shared" si="4"/>
        <v>4.8581690175166219E-2</v>
      </c>
      <c r="G15" s="4">
        <f t="shared" si="5"/>
        <v>0.34009635621627871</v>
      </c>
      <c r="H15" s="2">
        <f t="shared" si="2"/>
        <v>0.33942684150487856</v>
      </c>
    </row>
    <row r="16" spans="1:11" x14ac:dyDescent="0.35">
      <c r="A16">
        <v>2.5118999999999998</v>
      </c>
      <c r="B16">
        <f t="shared" si="0"/>
        <v>4.3840925480845561E-2</v>
      </c>
      <c r="C16">
        <f>1.51622*10^1</f>
        <v>15.162199999999999</v>
      </c>
      <c r="D16">
        <f t="shared" si="1"/>
        <v>0.66451196428832349</v>
      </c>
      <c r="E16">
        <f t="shared" si="3"/>
        <v>6.5765430959147326E-3</v>
      </c>
      <c r="F16">
        <f t="shared" si="4"/>
        <v>5.515823327108095E-2</v>
      </c>
      <c r="G16" s="4">
        <f t="shared" si="5"/>
        <v>0.38141799516856351</v>
      </c>
      <c r="H16" s="2">
        <f t="shared" si="2"/>
        <v>0.38066713455423895</v>
      </c>
    </row>
    <row r="17" spans="1:8" x14ac:dyDescent="0.35">
      <c r="A17">
        <v>3.1623000000000001</v>
      </c>
      <c r="B17">
        <f t="shared" si="0"/>
        <v>5.5192546935816683E-2</v>
      </c>
      <c r="C17">
        <f>1.00154*10^1</f>
        <v>10.015400000000001</v>
      </c>
      <c r="D17">
        <f t="shared" si="1"/>
        <v>0.55249483164707058</v>
      </c>
      <c r="E17">
        <f t="shared" si="3"/>
        <v>6.9075002277929412E-3</v>
      </c>
      <c r="F17">
        <f t="shared" si="4"/>
        <v>6.2065733498873892E-2</v>
      </c>
      <c r="G17" s="4">
        <f t="shared" si="5"/>
        <v>0.42481909910917176</v>
      </c>
      <c r="H17" s="2">
        <f t="shared" si="2"/>
        <v>0.42398279895088231</v>
      </c>
    </row>
    <row r="18" spans="1:8" x14ac:dyDescent="0.35">
      <c r="A18">
        <v>3.9811000000000001</v>
      </c>
      <c r="B18">
        <f t="shared" si="0"/>
        <v>6.9483302851146261E-2</v>
      </c>
      <c r="C18">
        <v>6.5795700000000004</v>
      </c>
      <c r="D18">
        <f t="shared" si="1"/>
        <v>0.45680247944737346</v>
      </c>
      <c r="E18">
        <f t="shared" si="3"/>
        <v>7.2118107594245822E-3</v>
      </c>
      <c r="F18">
        <f t="shared" si="4"/>
        <v>6.9277544258298476E-2</v>
      </c>
      <c r="G18" s="4">
        <f t="shared" si="5"/>
        <v>0.47013224251094793</v>
      </c>
      <c r="H18" s="2">
        <f t="shared" si="2"/>
        <v>0.46920673876205027</v>
      </c>
    </row>
    <row r="19" spans="1:8" x14ac:dyDescent="0.35">
      <c r="A19">
        <v>5.0118999999999998</v>
      </c>
      <c r="B19">
        <f t="shared" si="0"/>
        <v>8.7474156780703791E-2</v>
      </c>
      <c r="C19">
        <v>4.2953000000000001</v>
      </c>
      <c r="D19">
        <f t="shared" si="1"/>
        <v>0.37524876781548205</v>
      </c>
      <c r="E19">
        <f t="shared" si="3"/>
        <v>7.4846562257060937E-3</v>
      </c>
      <c r="F19">
        <f t="shared" si="4"/>
        <v>7.6762200484004575E-2</v>
      </c>
      <c r="G19" s="4">
        <f t="shared" si="5"/>
        <v>0.51715972453759462</v>
      </c>
      <c r="H19" s="2">
        <f t="shared" si="2"/>
        <v>0.51614164234590731</v>
      </c>
    </row>
    <row r="20" spans="1:8" x14ac:dyDescent="0.35">
      <c r="A20">
        <v>6.3095999999999997</v>
      </c>
      <c r="B20">
        <f t="shared" si="0"/>
        <v>0.11012329448383421</v>
      </c>
      <c r="C20">
        <v>2.8069000000000002</v>
      </c>
      <c r="D20">
        <f t="shared" si="1"/>
        <v>0.30848069391846172</v>
      </c>
      <c r="E20">
        <f t="shared" si="3"/>
        <v>7.7429413652496653E-3</v>
      </c>
      <c r="F20">
        <f t="shared" si="4"/>
        <v>8.4505141849254242E-2</v>
      </c>
      <c r="G20" s="4">
        <f t="shared" si="5"/>
        <v>0.56581005995808442</v>
      </c>
      <c r="H20" s="2">
        <f t="shared" si="2"/>
        <v>0.5646962045695274</v>
      </c>
    </row>
    <row r="21" spans="1:8" x14ac:dyDescent="0.35">
      <c r="A21">
        <v>7.9432999999999998</v>
      </c>
      <c r="B21">
        <f t="shared" si="0"/>
        <v>0.13863673847366556</v>
      </c>
      <c r="C21">
        <v>1.8192699999999999</v>
      </c>
      <c r="D21">
        <f t="shared" si="1"/>
        <v>0.25141049194623932</v>
      </c>
      <c r="E21">
        <f t="shared" si="3"/>
        <v>7.982212984276706E-3</v>
      </c>
      <c r="F21">
        <f t="shared" si="4"/>
        <v>9.2487354833530946E-2</v>
      </c>
      <c r="G21" s="4">
        <f t="shared" si="5"/>
        <v>0.61596378329966994</v>
      </c>
      <c r="H21" s="2">
        <f t="shared" si="2"/>
        <v>0.61475119514025267</v>
      </c>
    </row>
    <row r="22" spans="1:8" x14ac:dyDescent="0.35">
      <c r="A22">
        <v>10</v>
      </c>
      <c r="B22">
        <f t="shared" si="0"/>
        <v>0.17453292519943295</v>
      </c>
      <c r="C22">
        <v>1.1525700000000001</v>
      </c>
      <c r="D22">
        <f t="shared" si="1"/>
        <v>0.20014168013357392</v>
      </c>
      <c r="E22">
        <f t="shared" si="3"/>
        <v>8.1045005427014122E-3</v>
      </c>
      <c r="F22">
        <f t="shared" si="4"/>
        <v>0.10059185537623236</v>
      </c>
      <c r="G22" s="4">
        <f t="shared" si="5"/>
        <v>0.6668858620316005</v>
      </c>
      <c r="H22" s="2">
        <f t="shared" si="2"/>
        <v>0.665573028514587</v>
      </c>
    </row>
    <row r="23" spans="1:8" x14ac:dyDescent="0.35">
      <c r="A23">
        <v>15</v>
      </c>
      <c r="B23">
        <f t="shared" si="0"/>
        <v>0.26179938779914941</v>
      </c>
      <c r="C23">
        <f>4.89344*10^-1</f>
        <v>0.489344</v>
      </c>
      <c r="D23">
        <f t="shared" si="1"/>
        <v>0.12665154680664792</v>
      </c>
      <c r="E23">
        <f t="shared" si="3"/>
        <v>1.4259044458309762E-2</v>
      </c>
      <c r="F23">
        <f t="shared" si="4"/>
        <v>0.11485089983454212</v>
      </c>
      <c r="G23" s="4">
        <f t="shared" si="5"/>
        <v>0.75647808066647293</v>
      </c>
      <c r="H23" s="2">
        <f t="shared" si="2"/>
        <v>0.75498887563795491</v>
      </c>
    </row>
    <row r="24" spans="1:8" x14ac:dyDescent="0.35">
      <c r="A24">
        <v>20</v>
      </c>
      <c r="B24">
        <f t="shared" si="0"/>
        <v>0.3490658503988659</v>
      </c>
      <c r="C24">
        <f xml:space="preserve"> 2.44424*10^-1</f>
        <v>0.24442400000000003</v>
      </c>
      <c r="D24">
        <f t="shared" si="1"/>
        <v>8.3597931512233256E-2</v>
      </c>
      <c r="E24">
        <f t="shared" si="3"/>
        <v>9.1738641181622737E-3</v>
      </c>
      <c r="F24">
        <f t="shared" si="4"/>
        <v>0.1240247639527044</v>
      </c>
      <c r="G24" s="4">
        <f t="shared" si="5"/>
        <v>0.81411916890377212</v>
      </c>
      <c r="H24" s="2">
        <f t="shared" si="2"/>
        <v>0.81251649145530425</v>
      </c>
    </row>
    <row r="25" spans="1:8" x14ac:dyDescent="0.35">
      <c r="A25">
        <v>25</v>
      </c>
      <c r="B25">
        <f t="shared" si="0"/>
        <v>0.43633231299858238</v>
      </c>
      <c r="C25">
        <f>1.47151*10^-1</f>
        <v>0.147151</v>
      </c>
      <c r="D25">
        <f t="shared" si="1"/>
        <v>6.2188699833405664E-2</v>
      </c>
      <c r="E25">
        <f t="shared" si="3"/>
        <v>6.3611418059314265E-3</v>
      </c>
      <c r="F25">
        <f t="shared" si="4"/>
        <v>0.13038590575863582</v>
      </c>
      <c r="G25" s="4">
        <f t="shared" si="5"/>
        <v>0.85408740163568631</v>
      </c>
      <c r="H25" s="2">
        <f t="shared" si="2"/>
        <v>0.85240604260385666</v>
      </c>
    </row>
    <row r="26" spans="1:8" x14ac:dyDescent="0.35">
      <c r="A26">
        <v>30</v>
      </c>
      <c r="B26">
        <f t="shared" si="0"/>
        <v>0.52359877559829882</v>
      </c>
      <c r="C26">
        <f>8.60848*10^-2</f>
        <v>8.6084800000000003E-2</v>
      </c>
      <c r="D26">
        <f t="shared" si="1"/>
        <v>4.3042399999999995E-2</v>
      </c>
      <c r="E26">
        <f t="shared" si="3"/>
        <v>4.5915729189694608E-3</v>
      </c>
      <c r="F26">
        <f t="shared" si="4"/>
        <v>0.13497747867760529</v>
      </c>
      <c r="G26" s="4">
        <f t="shared" si="5"/>
        <v>0.88293710513699886</v>
      </c>
      <c r="H26" s="2">
        <f t="shared" si="2"/>
        <v>0.88119895249194569</v>
      </c>
    </row>
    <row r="27" spans="1:8" x14ac:dyDescent="0.35">
      <c r="A27">
        <v>35</v>
      </c>
      <c r="B27">
        <f t="shared" si="0"/>
        <v>0.6108652381980153</v>
      </c>
      <c r="C27">
        <f>5.93075*10^-2</f>
        <v>5.9307499999999999E-2</v>
      </c>
      <c r="D27">
        <f t="shared" si="1"/>
        <v>3.4017384498889663E-2</v>
      </c>
      <c r="E27">
        <f t="shared" si="3"/>
        <v>3.3623674009572832E-3</v>
      </c>
      <c r="F27">
        <f t="shared" si="4"/>
        <v>0.13833984607856256</v>
      </c>
      <c r="G27" s="4">
        <f t="shared" si="5"/>
        <v>0.90406348258803326</v>
      </c>
      <c r="H27" s="2">
        <f t="shared" si="2"/>
        <v>0.902283740492686</v>
      </c>
    </row>
    <row r="28" spans="1:8" x14ac:dyDescent="0.35">
      <c r="A28">
        <v>40</v>
      </c>
      <c r="B28">
        <f t="shared" si="0"/>
        <v>0.69813170079773179</v>
      </c>
      <c r="C28">
        <f>4.20985*10^-2</f>
        <v>4.2098500000000004E-2</v>
      </c>
      <c r="D28">
        <f t="shared" si="1"/>
        <v>2.7060394186388774E-2</v>
      </c>
      <c r="E28">
        <f t="shared" si="3"/>
        <v>2.665020844656306E-3</v>
      </c>
      <c r="F28">
        <f t="shared" si="4"/>
        <v>0.14100486692321887</v>
      </c>
      <c r="G28" s="4">
        <f t="shared" si="5"/>
        <v>0.92080830240250511</v>
      </c>
      <c r="H28" s="2">
        <f t="shared" si="2"/>
        <v>0.91899559640442674</v>
      </c>
    </row>
    <row r="29" spans="1:8" x14ac:dyDescent="0.35">
      <c r="A29">
        <v>45</v>
      </c>
      <c r="B29">
        <f t="shared" si="0"/>
        <v>0.78539816339744828</v>
      </c>
      <c r="C29">
        <f>3.06722*10^-2</f>
        <v>3.06722E-2</v>
      </c>
      <c r="D29">
        <f t="shared" si="1"/>
        <v>2.1688520613910023E-2</v>
      </c>
      <c r="E29">
        <f t="shared" si="3"/>
        <v>2.1270726750985203E-3</v>
      </c>
      <c r="F29">
        <f t="shared" si="4"/>
        <v>0.14313193959831738</v>
      </c>
      <c r="G29" s="4">
        <f t="shared" si="5"/>
        <v>0.93417309418198735</v>
      </c>
      <c r="H29" s="2">
        <f t="shared" si="2"/>
        <v>0.93233407821454994</v>
      </c>
    </row>
    <row r="30" spans="1:8" x14ac:dyDescent="0.35">
      <c r="A30">
        <v>50</v>
      </c>
      <c r="B30">
        <f t="shared" si="0"/>
        <v>0.87266462599716477</v>
      </c>
      <c r="C30">
        <f>2.27533*10^-2</f>
        <v>2.2753300000000001E-2</v>
      </c>
      <c r="D30">
        <f t="shared" si="1"/>
        <v>1.7430039027619044E-2</v>
      </c>
      <c r="E30">
        <f t="shared" si="3"/>
        <v>1.7068691609561375E-3</v>
      </c>
      <c r="F30">
        <f t="shared" si="4"/>
        <v>0.14483880875927352</v>
      </c>
      <c r="G30" s="4">
        <f t="shared" si="5"/>
        <v>0.94489766941538489</v>
      </c>
      <c r="H30" s="2">
        <f t="shared" si="2"/>
        <v>0.9430375410168349</v>
      </c>
    </row>
    <row r="31" spans="1:8" x14ac:dyDescent="0.35">
      <c r="A31">
        <v>55</v>
      </c>
      <c r="B31">
        <f t="shared" si="0"/>
        <v>0.95993108859688125</v>
      </c>
      <c r="C31">
        <f>1.69904*10^-2</f>
        <v>1.6990400000000003E-2</v>
      </c>
      <c r="D31">
        <f t="shared" si="1"/>
        <v>1.3917720893287688E-2</v>
      </c>
      <c r="E31">
        <f t="shared" si="3"/>
        <v>1.3678040593613492E-3</v>
      </c>
      <c r="F31">
        <f t="shared" si="4"/>
        <v>0.14620661281863487</v>
      </c>
      <c r="G31" s="4">
        <f t="shared" si="5"/>
        <v>0.95349183578426466</v>
      </c>
      <c r="H31" s="2">
        <f t="shared" si="2"/>
        <v>0.9516147888839106</v>
      </c>
    </row>
    <row r="32" spans="1:8" x14ac:dyDescent="0.35">
      <c r="A32">
        <v>60</v>
      </c>
      <c r="B32">
        <f t="shared" si="0"/>
        <v>1.0471975511965976</v>
      </c>
      <c r="C32">
        <f>1.31254*10^-2</f>
        <v>1.3125400000000001E-2</v>
      </c>
      <c r="D32">
        <f t="shared" si="1"/>
        <v>1.1366929834832271E-2</v>
      </c>
      <c r="E32">
        <f t="shared" si="3"/>
        <v>1.1032510135561859E-3</v>
      </c>
      <c r="F32">
        <f t="shared" si="4"/>
        <v>0.14730986383219105</v>
      </c>
      <c r="G32" s="4">
        <f t="shared" si="5"/>
        <v>0.96042376634277182</v>
      </c>
      <c r="H32" s="2">
        <f t="shared" si="2"/>
        <v>0.9585330732230376</v>
      </c>
    </row>
    <row r="33" spans="1:8" x14ac:dyDescent="0.35">
      <c r="A33">
        <v>65</v>
      </c>
      <c r="B33">
        <f t="shared" si="0"/>
        <v>1.1344640137963142</v>
      </c>
      <c r="C33">
        <f>1.04625*10^-2</f>
        <v>1.04625E-2</v>
      </c>
      <c r="D33">
        <f t="shared" si="1"/>
        <v>9.482245221870949E-3</v>
      </c>
      <c r="E33">
        <f t="shared" si="3"/>
        <v>9.0971687766036786E-4</v>
      </c>
      <c r="F33">
        <f t="shared" si="4"/>
        <v>0.14821958070985142</v>
      </c>
      <c r="G33" s="4">
        <f t="shared" si="5"/>
        <v>0.9661396860621807</v>
      </c>
      <c r="H33" s="2">
        <f t="shared" si="2"/>
        <v>0.96423774056566747</v>
      </c>
    </row>
    <row r="34" spans="1:8" x14ac:dyDescent="0.35">
      <c r="A34">
        <v>70</v>
      </c>
      <c r="B34">
        <f t="shared" si="0"/>
        <v>1.2217304763960306</v>
      </c>
      <c r="C34">
        <f>8.48826*10^-3</f>
        <v>8.4882600000000009E-3</v>
      </c>
      <c r="D34">
        <f t="shared" si="1"/>
        <v>7.976355285312195E-3</v>
      </c>
      <c r="E34">
        <f t="shared" si="3"/>
        <v>7.6177515410174364E-4</v>
      </c>
      <c r="F34">
        <f t="shared" si="4"/>
        <v>0.14898135586395317</v>
      </c>
      <c r="G34" s="4">
        <f t="shared" si="5"/>
        <v>0.97092606051780728</v>
      </c>
      <c r="H34" s="2">
        <f t="shared" si="2"/>
        <v>0.96901469255012151</v>
      </c>
    </row>
    <row r="35" spans="1:8" x14ac:dyDescent="0.35">
      <c r="A35">
        <v>75</v>
      </c>
      <c r="B35">
        <f t="shared" si="0"/>
        <v>1.3089969389957472</v>
      </c>
      <c r="C35">
        <f>6.97601*10^-3</f>
        <v>6.9760099999999995E-3</v>
      </c>
      <c r="D35">
        <f t="shared" si="1"/>
        <v>6.7383082234508031E-3</v>
      </c>
      <c r="E35">
        <f t="shared" si="3"/>
        <v>6.420483163774404E-4</v>
      </c>
      <c r="F35">
        <f t="shared" si="4"/>
        <v>0.1496234041803306</v>
      </c>
      <c r="G35" s="4">
        <f t="shared" si="5"/>
        <v>0.97496016906576943</v>
      </c>
      <c r="H35" s="2">
        <f t="shared" si="2"/>
        <v>0.97304085953984332</v>
      </c>
    </row>
    <row r="36" spans="1:8" x14ac:dyDescent="0.35">
      <c r="A36">
        <v>80</v>
      </c>
      <c r="B36">
        <f t="shared" si="0"/>
        <v>1.3962634015954636</v>
      </c>
      <c r="C36">
        <f>5.84232*10^-3</f>
        <v>5.8423199999999998E-3</v>
      </c>
      <c r="D36">
        <f t="shared" si="1"/>
        <v>5.7535620315782828E-3</v>
      </c>
      <c r="E36">
        <f t="shared" si="3"/>
        <v>5.4506066420550265E-4</v>
      </c>
      <c r="F36">
        <f t="shared" si="4"/>
        <v>0.15016846484453611</v>
      </c>
      <c r="G36" s="4">
        <f t="shared" si="5"/>
        <v>0.97838488622262698</v>
      </c>
      <c r="H36" s="2">
        <f t="shared" si="2"/>
        <v>0.97645883478818873</v>
      </c>
    </row>
    <row r="37" spans="1:8" x14ac:dyDescent="0.35">
      <c r="A37">
        <v>85</v>
      </c>
      <c r="B37">
        <f t="shared" si="0"/>
        <v>1.4835298641951802</v>
      </c>
      <c r="C37">
        <f xml:space="preserve"> 4.95306*10^-3</f>
        <v>4.9530599999999996E-3</v>
      </c>
      <c r="D37">
        <f t="shared" si="1"/>
        <v>4.9342121113303012E-3</v>
      </c>
      <c r="E37">
        <f t="shared" si="3"/>
        <v>4.6634212125817507E-4</v>
      </c>
      <c r="F37">
        <f t="shared" si="4"/>
        <v>0.15063480696579429</v>
      </c>
      <c r="G37" s="4">
        <f t="shared" si="5"/>
        <v>0.98131500018703532</v>
      </c>
      <c r="H37" s="2">
        <f t="shared" si="2"/>
        <v>0.97938318052141971</v>
      </c>
    </row>
    <row r="38" spans="1:8" x14ac:dyDescent="0.35">
      <c r="A38">
        <v>90</v>
      </c>
      <c r="B38">
        <f t="shared" si="0"/>
        <v>1.5707963267948966</v>
      </c>
      <c r="C38">
        <f>4.29232*10^-3</f>
        <v>4.2923200000000005E-3</v>
      </c>
      <c r="D38">
        <f t="shared" si="1"/>
        <v>4.2923200000000005E-3</v>
      </c>
      <c r="E38">
        <f t="shared" si="3"/>
        <v>4.0258340970924399E-4</v>
      </c>
      <c r="F38">
        <f t="shared" si="4"/>
        <v>0.15103739037550354</v>
      </c>
      <c r="G38" s="4">
        <f t="shared" si="5"/>
        <v>0.98384450635183474</v>
      </c>
      <c r="H38" s="2">
        <f t="shared" si="2"/>
        <v>0.98190770709276287</v>
      </c>
    </row>
    <row r="39" spans="1:8" x14ac:dyDescent="0.35">
      <c r="A39">
        <v>95</v>
      </c>
      <c r="B39">
        <f t="shared" si="0"/>
        <v>1.6580627893946132</v>
      </c>
      <c r="C39">
        <f>3.78161*10^-3</f>
        <v>3.7816100000000004E-3</v>
      </c>
      <c r="D39">
        <f t="shared" si="1"/>
        <v>3.7672198322507263E-3</v>
      </c>
      <c r="E39">
        <f t="shared" si="3"/>
        <v>3.5166376567101715E-4</v>
      </c>
      <c r="F39">
        <f t="shared" si="4"/>
        <v>0.15138905414117457</v>
      </c>
      <c r="G39" s="4">
        <f t="shared" si="5"/>
        <v>0.9860540749573663</v>
      </c>
      <c r="H39" s="2">
        <f t="shared" si="2"/>
        <v>0.98411292593488109</v>
      </c>
    </row>
    <row r="40" spans="1:8" x14ac:dyDescent="0.35">
      <c r="A40">
        <v>100</v>
      </c>
      <c r="B40">
        <f t="shared" si="0"/>
        <v>1.7453292519943295</v>
      </c>
      <c r="C40">
        <f>3.40405*10^-3</f>
        <v>3.40405E-3</v>
      </c>
      <c r="D40">
        <f t="shared" si="1"/>
        <v>3.3523348316412066E-3</v>
      </c>
      <c r="E40">
        <f t="shared" si="3"/>
        <v>3.1064917540158082E-4</v>
      </c>
      <c r="F40">
        <f t="shared" si="4"/>
        <v>0.15169970331657615</v>
      </c>
      <c r="G40" s="4">
        <f t="shared" si="5"/>
        <v>0.98800594129193697</v>
      </c>
      <c r="H40" s="2">
        <f t="shared" si="2"/>
        <v>0.98606094981950554</v>
      </c>
    </row>
    <row r="41" spans="1:8" x14ac:dyDescent="0.35">
      <c r="A41">
        <v>105</v>
      </c>
      <c r="B41">
        <f t="shared" si="0"/>
        <v>1.8325957145940461</v>
      </c>
      <c r="C41">
        <f>3.11591*10^-3</f>
        <v>3.1159099999999999E-3</v>
      </c>
      <c r="D41">
        <f t="shared" si="1"/>
        <v>3.0097379413923709E-3</v>
      </c>
      <c r="E41">
        <f t="shared" si="3"/>
        <v>2.77597792852305E-4</v>
      </c>
      <c r="F41">
        <f t="shared" si="4"/>
        <v>0.15197730110942845</v>
      </c>
      <c r="G41" s="4">
        <f t="shared" si="5"/>
        <v>0.98975013966529202</v>
      </c>
      <c r="H41" s="2">
        <f t="shared" si="2"/>
        <v>0.98780171455868826</v>
      </c>
    </row>
    <row r="42" spans="1:8" x14ac:dyDescent="0.35">
      <c r="A42">
        <v>110</v>
      </c>
      <c r="B42">
        <f t="shared" si="0"/>
        <v>1.9198621771937625</v>
      </c>
      <c r="C42">
        <f>2.91222*10^-3</f>
        <v>2.9122200000000001E-3</v>
      </c>
      <c r="D42">
        <f t="shared" si="1"/>
        <v>2.7365916441051382E-3</v>
      </c>
      <c r="E42">
        <f t="shared" si="3"/>
        <v>2.5073092792923107E-4</v>
      </c>
      <c r="F42">
        <f t="shared" si="4"/>
        <v>0.15222803203735769</v>
      </c>
      <c r="G42" s="4">
        <f t="shared" si="5"/>
        <v>0.9913255285477125</v>
      </c>
      <c r="H42" s="2">
        <f t="shared" si="2"/>
        <v>0.98937400212580895</v>
      </c>
    </row>
    <row r="43" spans="1:8" x14ac:dyDescent="0.35">
      <c r="A43">
        <v>115</v>
      </c>
      <c r="B43">
        <f t="shared" si="0"/>
        <v>2.0071286397934789</v>
      </c>
      <c r="C43">
        <f>2.79696*10^-3</f>
        <v>2.7969599999999998E-3</v>
      </c>
      <c r="D43">
        <f t="shared" si="1"/>
        <v>2.5349066280300286E-3</v>
      </c>
      <c r="E43">
        <f t="shared" si="3"/>
        <v>2.3001250340487649E-4</v>
      </c>
      <c r="F43">
        <f t="shared" si="4"/>
        <v>0.15245804454076256</v>
      </c>
      <c r="G43" s="4">
        <f t="shared" si="5"/>
        <v>0.99277073972957364</v>
      </c>
      <c r="H43" s="2">
        <f t="shared" si="2"/>
        <v>0.99081636826058372</v>
      </c>
    </row>
    <row r="44" spans="1:8" x14ac:dyDescent="0.35">
      <c r="A44">
        <v>120</v>
      </c>
      <c r="B44">
        <f t="shared" si="0"/>
        <v>2.0943951023931953</v>
      </c>
      <c r="C44">
        <f>2.68568*10^-3</f>
        <v>2.6856800000000002E-3</v>
      </c>
      <c r="D44">
        <f t="shared" si="1"/>
        <v>2.3258671064357913E-3</v>
      </c>
      <c r="E44">
        <f t="shared" si="3"/>
        <v>2.1209126465222261E-4</v>
      </c>
      <c r="F44">
        <f t="shared" si="4"/>
        <v>0.15267013580541478</v>
      </c>
      <c r="G44" s="4">
        <f t="shared" si="5"/>
        <v>0.99410334844741766</v>
      </c>
      <c r="H44" s="2">
        <f t="shared" si="2"/>
        <v>0.99214635360089121</v>
      </c>
    </row>
    <row r="45" spans="1:8" x14ac:dyDescent="0.35">
      <c r="A45">
        <v>125</v>
      </c>
      <c r="B45">
        <f t="shared" si="0"/>
        <v>2.1816615649929116</v>
      </c>
      <c r="C45">
        <f>2.57142*10^-3</f>
        <v>2.57142E-3</v>
      </c>
      <c r="D45">
        <f t="shared" si="1"/>
        <v>2.1063839497256001E-3</v>
      </c>
      <c r="E45">
        <f t="shared" si="3"/>
        <v>1.9339343551253073E-4</v>
      </c>
      <c r="F45">
        <f t="shared" si="4"/>
        <v>0.1528635292409273</v>
      </c>
      <c r="G45" s="4">
        <f t="shared" si="5"/>
        <v>0.995318475239935</v>
      </c>
      <c r="H45" s="2">
        <f t="shared" si="2"/>
        <v>0.99335908829114428</v>
      </c>
    </row>
    <row r="46" spans="1:8" x14ac:dyDescent="0.35">
      <c r="A46">
        <v>130</v>
      </c>
      <c r="B46">
        <f t="shared" si="0"/>
        <v>2.2689280275926285</v>
      </c>
      <c r="C46">
        <f>2.47603*10^-3</f>
        <v>2.4760300000000002E-3</v>
      </c>
      <c r="D46">
        <f t="shared" si="1"/>
        <v>1.8967490224958833E-3</v>
      </c>
      <c r="E46">
        <f t="shared" si="3"/>
        <v>1.7466962690102967E-4</v>
      </c>
      <c r="F46">
        <f t="shared" si="4"/>
        <v>0.15303819886782832</v>
      </c>
      <c r="G46" s="4">
        <f t="shared" si="5"/>
        <v>0.9964159568732901</v>
      </c>
      <c r="H46" s="2">
        <f t="shared" si="2"/>
        <v>0.99445440941884966</v>
      </c>
    </row>
    <row r="47" spans="1:8" x14ac:dyDescent="0.35">
      <c r="A47">
        <v>135</v>
      </c>
      <c r="B47">
        <f t="shared" si="0"/>
        <v>2.3561944901923448</v>
      </c>
      <c r="C47">
        <f>2.37667*10^-3</f>
        <v>2.37667E-3</v>
      </c>
      <c r="D47">
        <f t="shared" si="1"/>
        <v>1.6805594736426319E-3</v>
      </c>
      <c r="E47">
        <f t="shared" si="3"/>
        <v>1.5608952904295968E-4</v>
      </c>
      <c r="F47">
        <f t="shared" si="4"/>
        <v>0.15319428839687127</v>
      </c>
      <c r="G47" s="4">
        <f t="shared" si="5"/>
        <v>0.99739669630877736</v>
      </c>
      <c r="H47" s="2">
        <f t="shared" si="2"/>
        <v>0.99543321816772978</v>
      </c>
    </row>
    <row r="48" spans="1:8" x14ac:dyDescent="0.35">
      <c r="A48">
        <v>140</v>
      </c>
      <c r="B48">
        <f t="shared" si="0"/>
        <v>2.4434609527920612</v>
      </c>
      <c r="C48">
        <f>2.32898*10^-3</f>
        <v>2.32898E-3</v>
      </c>
      <c r="D48">
        <f t="shared" si="1"/>
        <v>1.4970394872077567E-3</v>
      </c>
      <c r="E48">
        <f t="shared" si="3"/>
        <v>1.3864891043697403E-4</v>
      </c>
      <c r="F48">
        <f t="shared" si="4"/>
        <v>0.15333293730730824</v>
      </c>
      <c r="G48" s="4">
        <f t="shared" si="5"/>
        <v>0.99826785310569144</v>
      </c>
      <c r="H48" s="2">
        <f t="shared" si="2"/>
        <v>0.99630266000274903</v>
      </c>
    </row>
    <row r="49" spans="1:8" x14ac:dyDescent="0.35">
      <c r="A49">
        <v>145</v>
      </c>
      <c r="B49">
        <f t="shared" si="0"/>
        <v>2.5307274153917776</v>
      </c>
      <c r="C49">
        <f>2.31308*10^-3</f>
        <v>2.3130799999999999E-3</v>
      </c>
      <c r="D49">
        <f t="shared" si="1"/>
        <v>1.3267281833948784E-3</v>
      </c>
      <c r="E49">
        <f t="shared" si="3"/>
        <v>1.2321010790846654E-4</v>
      </c>
      <c r="F49">
        <f t="shared" si="4"/>
        <v>0.15345614741521671</v>
      </c>
      <c r="G49" s="4">
        <f t="shared" si="5"/>
        <v>0.99904200504539797</v>
      </c>
      <c r="H49" s="2">
        <f t="shared" si="2"/>
        <v>0.99707528794461486</v>
      </c>
    </row>
    <row r="50" spans="1:8" x14ac:dyDescent="0.35">
      <c r="A50">
        <v>150</v>
      </c>
      <c r="B50">
        <f t="shared" si="0"/>
        <v>2.6179938779914944</v>
      </c>
      <c r="C50">
        <f>2.36475*10^-3</f>
        <v>2.3647500000000001E-3</v>
      </c>
      <c r="D50">
        <f t="shared" si="1"/>
        <v>1.1823749999999998E-3</v>
      </c>
      <c r="E50">
        <f t="shared" si="3"/>
        <v>1.0948027955627978E-4</v>
      </c>
      <c r="F50">
        <f t="shared" si="4"/>
        <v>0.153565627694773</v>
      </c>
      <c r="G50" s="4">
        <f t="shared" si="5"/>
        <v>0.99972988992933187</v>
      </c>
      <c r="H50" s="2">
        <f t="shared" si="2"/>
        <v>0.99776181865629399</v>
      </c>
    </row>
    <row r="51" spans="1:8" x14ac:dyDescent="0.35">
      <c r="A51">
        <v>155</v>
      </c>
      <c r="B51">
        <f t="shared" si="0"/>
        <v>2.7052603405912108</v>
      </c>
      <c r="C51">
        <f>2.50584*10^-3</f>
        <v>2.5058400000000001E-3</v>
      </c>
      <c r="D51">
        <f t="shared" si="1"/>
        <v>1.0590137450003144E-3</v>
      </c>
      <c r="E51">
        <f t="shared" si="3"/>
        <v>9.7799033543497586E-5</v>
      </c>
      <c r="F51">
        <f t="shared" si="4"/>
        <v>0.15366342672831651</v>
      </c>
      <c r="G51" s="4">
        <f t="shared" si="5"/>
        <v>1.0003443793799487</v>
      </c>
      <c r="H51" s="2">
        <f t="shared" si="2"/>
        <v>0.99837509842112715</v>
      </c>
    </row>
    <row r="52" spans="1:8" x14ac:dyDescent="0.35">
      <c r="A52">
        <v>160</v>
      </c>
      <c r="B52">
        <f t="shared" si="0"/>
        <v>2.7925268031909272</v>
      </c>
      <c r="C52">
        <f>2.66183*10^-3</f>
        <v>2.66183E-3</v>
      </c>
      <c r="D52">
        <f t="shared" si="1"/>
        <v>9.1039947810856521E-4</v>
      </c>
      <c r="E52">
        <f t="shared" si="3"/>
        <v>8.5931862688908958E-5</v>
      </c>
      <c r="F52">
        <f t="shared" si="4"/>
        <v>0.15374935859100541</v>
      </c>
      <c r="G52" s="4">
        <f t="shared" si="5"/>
        <v>1.0008843051970142</v>
      </c>
      <c r="H52" s="2">
        <f t="shared" si="2"/>
        <v>0.99891396133860266</v>
      </c>
    </row>
    <row r="53" spans="1:8" x14ac:dyDescent="0.35">
      <c r="A53">
        <v>165</v>
      </c>
      <c r="B53">
        <f t="shared" si="0"/>
        <v>2.8797932657906435</v>
      </c>
      <c r="C53">
        <f>2.83472*10^-3</f>
        <v>2.8347199999999998E-3</v>
      </c>
      <c r="D53">
        <f t="shared" si="1"/>
        <v>7.3367952353301836E-4</v>
      </c>
      <c r="E53">
        <f t="shared" si="3"/>
        <v>7.1736479353867153E-5</v>
      </c>
      <c r="F53">
        <f t="shared" si="4"/>
        <v>0.15382109507035929</v>
      </c>
      <c r="G53" s="4">
        <f t="shared" si="5"/>
        <v>1.0013350387900792</v>
      </c>
      <c r="H53" s="2">
        <f t="shared" si="2"/>
        <v>0.99936380761615851</v>
      </c>
    </row>
    <row r="54" spans="1:8" x14ac:dyDescent="0.35">
      <c r="A54">
        <v>170</v>
      </c>
      <c r="B54">
        <f t="shared" si="0"/>
        <v>2.9670597283903604</v>
      </c>
      <c r="C54">
        <f>3.03046*10^-3</f>
        <v>3.03046E-3</v>
      </c>
      <c r="D54">
        <f t="shared" si="1"/>
        <v>5.2623385649252553E-4</v>
      </c>
      <c r="E54">
        <f t="shared" si="3"/>
        <v>5.4974091928440967E-5</v>
      </c>
      <c r="F54">
        <f t="shared" si="4"/>
        <v>0.15387606916228774</v>
      </c>
      <c r="G54" s="4">
        <f t="shared" si="5"/>
        <v>1.0016804511967596</v>
      </c>
      <c r="H54" s="2">
        <f t="shared" si="2"/>
        <v>0.99970854004293452</v>
      </c>
    </row>
    <row r="55" spans="1:8" x14ac:dyDescent="0.35">
      <c r="A55">
        <v>175</v>
      </c>
      <c r="B55">
        <f t="shared" si="0"/>
        <v>3.0543261909900763</v>
      </c>
      <c r="C55">
        <f>3.09206*10^-3</f>
        <v>3.0920600000000002E-3</v>
      </c>
      <c r="D55">
        <f t="shared" si="1"/>
        <v>2.694907859203254E-4</v>
      </c>
      <c r="E55">
        <f t="shared" si="3"/>
        <v>3.4720037373396695E-5</v>
      </c>
      <c r="F55">
        <f t="shared" si="4"/>
        <v>0.15391078919966114</v>
      </c>
      <c r="G55" s="4">
        <f t="shared" si="5"/>
        <v>1.0018986036254489</v>
      </c>
      <c r="H55" s="2">
        <f t="shared" si="2"/>
        <v>0.99992626301609555</v>
      </c>
    </row>
    <row r="56" spans="1:8" x14ac:dyDescent="0.35">
      <c r="A56">
        <v>180</v>
      </c>
      <c r="B56">
        <f t="shared" si="0"/>
        <v>3.1415926535897931</v>
      </c>
      <c r="C56">
        <f>3.15366*10^-3</f>
        <v>3.15366E-3</v>
      </c>
      <c r="D56">
        <f t="shared" si="1"/>
        <v>3.8637016763071187E-19</v>
      </c>
      <c r="E56">
        <f t="shared" si="3"/>
        <v>1.1758753795242202E-5</v>
      </c>
      <c r="F56">
        <f t="shared" si="4"/>
        <v>0.15392254795345639</v>
      </c>
      <c r="G56" s="4">
        <f t="shared" si="5"/>
        <v>1.0019724860545258</v>
      </c>
      <c r="H56" s="2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1D8-BA27-4041-88DA-76C8A5F0CD0C}">
  <dimension ref="A1:G56"/>
  <sheetViews>
    <sheetView topLeftCell="A16" workbookViewId="0">
      <selection activeCell="B56" sqref="A2:B56"/>
    </sheetView>
  </sheetViews>
  <sheetFormatPr defaultRowHeight="14.5" x14ac:dyDescent="0.35"/>
  <cols>
    <col min="1" max="1" width="14.6328125" customWidth="1"/>
    <col min="2" max="2" width="11.08984375" style="2" customWidth="1"/>
    <col min="3" max="3" width="12.6328125" customWidth="1"/>
    <col min="7" max="7" width="8.7265625" style="2"/>
  </cols>
  <sheetData>
    <row r="1" spans="1:3" x14ac:dyDescent="0.35">
      <c r="A1" t="s">
        <v>1</v>
      </c>
      <c r="B1" s="2" t="s">
        <v>4</v>
      </c>
    </row>
    <row r="2" spans="1:3" x14ac:dyDescent="0.35">
      <c r="A2">
        <v>1.7453292519943296E-3</v>
      </c>
      <c r="B2" s="2">
        <v>5.1652873513785155E-2</v>
      </c>
      <c r="C2" s="1"/>
    </row>
    <row r="3" spans="1:3" x14ac:dyDescent="0.35">
      <c r="A3">
        <v>2.1971949953356615E-3</v>
      </c>
      <c r="B3" s="2">
        <v>6.0054521563381993E-2</v>
      </c>
      <c r="C3" s="1"/>
    </row>
    <row r="4" spans="1:3" x14ac:dyDescent="0.35">
      <c r="A4">
        <v>2.7661723314858127E-3</v>
      </c>
      <c r="B4" s="2">
        <v>6.9821982907737543E-2</v>
      </c>
      <c r="C4" s="1"/>
    </row>
    <row r="5" spans="1:3" x14ac:dyDescent="0.35">
      <c r="A5">
        <v>3.4824554565042859E-3</v>
      </c>
      <c r="B5" s="2">
        <v>8.1192418807237696E-2</v>
      </c>
      <c r="C5" s="1"/>
    </row>
    <row r="6" spans="1:3" x14ac:dyDescent="0.35">
      <c r="A6">
        <v>4.3840925480845569E-3</v>
      </c>
      <c r="B6" s="2">
        <v>9.4441426742852982E-2</v>
      </c>
      <c r="C6" s="1"/>
    </row>
    <row r="7" spans="1:3" x14ac:dyDescent="0.35">
      <c r="A7">
        <v>5.519254693581669E-3</v>
      </c>
      <c r="B7" s="2">
        <v>0.1098503705639505</v>
      </c>
      <c r="C7" s="1"/>
    </row>
    <row r="8" spans="1:3" x14ac:dyDescent="0.35">
      <c r="A8">
        <v>6.9483302851146254E-3</v>
      </c>
      <c r="B8" s="2">
        <v>0.12776086017175711</v>
      </c>
      <c r="C8" s="1"/>
    </row>
    <row r="9" spans="1:3" x14ac:dyDescent="0.35">
      <c r="A9">
        <v>8.7474156780703808E-3</v>
      </c>
      <c r="B9" s="2">
        <v>0.14938898506393425</v>
      </c>
      <c r="C9" s="1"/>
    </row>
    <row r="10" spans="1:3" x14ac:dyDescent="0.35">
      <c r="A10">
        <v>1.1012329448383422E-2</v>
      </c>
      <c r="B10" s="2">
        <v>0.17427280515658353</v>
      </c>
      <c r="C10" s="1"/>
    </row>
    <row r="11" spans="1:3" x14ac:dyDescent="0.35">
      <c r="A11">
        <v>1.3863673847366559E-2</v>
      </c>
      <c r="B11" s="2">
        <v>0.20115753521968316</v>
      </c>
      <c r="C11" s="1"/>
    </row>
    <row r="12" spans="1:3" x14ac:dyDescent="0.35">
      <c r="A12">
        <v>1.7453292519943295E-2</v>
      </c>
      <c r="B12" s="2">
        <v>0.23117582227798361</v>
      </c>
      <c r="C12" s="1"/>
    </row>
    <row r="13" spans="1:3" x14ac:dyDescent="0.35">
      <c r="A13">
        <v>2.197194995335661E-2</v>
      </c>
      <c r="B13" s="2">
        <v>0.2643147234648458</v>
      </c>
      <c r="C13" s="1"/>
    </row>
    <row r="14" spans="1:3" x14ac:dyDescent="0.35">
      <c r="A14">
        <v>2.7661723314858128E-2</v>
      </c>
      <c r="B14" s="2">
        <v>0.30049936847516207</v>
      </c>
      <c r="C14" s="1"/>
    </row>
    <row r="15" spans="1:3" x14ac:dyDescent="0.35">
      <c r="A15">
        <v>3.4824554565042853E-2</v>
      </c>
      <c r="B15" s="2">
        <v>0.33942684150487856</v>
      </c>
      <c r="C15" s="1"/>
    </row>
    <row r="16" spans="1:3" x14ac:dyDescent="0.35">
      <c r="A16">
        <v>4.3840925480845561E-2</v>
      </c>
      <c r="B16" s="2">
        <v>0.38066713455423895</v>
      </c>
      <c r="C16" s="1"/>
    </row>
    <row r="17" spans="1:3" x14ac:dyDescent="0.35">
      <c r="A17">
        <v>5.5192546935816683E-2</v>
      </c>
      <c r="B17" s="2">
        <v>0.42398279895088231</v>
      </c>
      <c r="C17" s="1"/>
    </row>
    <row r="18" spans="1:3" x14ac:dyDescent="0.35">
      <c r="A18">
        <v>6.9483302851146261E-2</v>
      </c>
      <c r="B18" s="2">
        <v>0.46920673876205027</v>
      </c>
      <c r="C18" s="1"/>
    </row>
    <row r="19" spans="1:3" x14ac:dyDescent="0.35">
      <c r="A19">
        <v>8.7474156780703791E-2</v>
      </c>
      <c r="B19" s="2">
        <v>0.51614164234590731</v>
      </c>
      <c r="C19" s="1"/>
    </row>
    <row r="20" spans="1:3" x14ac:dyDescent="0.35">
      <c r="A20">
        <v>0.11012329448383421</v>
      </c>
      <c r="B20" s="2">
        <v>0.5646962045695274</v>
      </c>
      <c r="C20" s="1"/>
    </row>
    <row r="21" spans="1:3" x14ac:dyDescent="0.35">
      <c r="A21">
        <v>0.13863673847366556</v>
      </c>
      <c r="B21" s="2">
        <v>0.61475119514025267</v>
      </c>
      <c r="C21" s="1"/>
    </row>
    <row r="22" spans="1:3" x14ac:dyDescent="0.35">
      <c r="A22">
        <v>0.17453292519943295</v>
      </c>
      <c r="B22" s="2">
        <v>0.665573028514587</v>
      </c>
      <c r="C22" s="1"/>
    </row>
    <row r="23" spans="1:3" x14ac:dyDescent="0.35">
      <c r="A23">
        <v>0.26179938779914941</v>
      </c>
      <c r="B23" s="2">
        <v>0.75498887563795491</v>
      </c>
      <c r="C23" s="1"/>
    </row>
    <row r="24" spans="1:3" x14ac:dyDescent="0.35">
      <c r="A24">
        <v>0.3490658503988659</v>
      </c>
      <c r="B24" s="2">
        <v>0.81251649145530425</v>
      </c>
      <c r="C24" s="1"/>
    </row>
    <row r="25" spans="1:3" x14ac:dyDescent="0.35">
      <c r="A25">
        <v>0.43633231299858238</v>
      </c>
      <c r="B25" s="2">
        <v>0.85240604260385666</v>
      </c>
      <c r="C25" s="1"/>
    </row>
    <row r="26" spans="1:3" x14ac:dyDescent="0.35">
      <c r="A26">
        <v>0.52359877559829882</v>
      </c>
      <c r="B26" s="2">
        <v>0.88119895249194569</v>
      </c>
      <c r="C26" s="1"/>
    </row>
    <row r="27" spans="1:3" x14ac:dyDescent="0.35">
      <c r="A27">
        <v>0.6108652381980153</v>
      </c>
      <c r="B27" s="2">
        <v>0.902283740492686</v>
      </c>
      <c r="C27" s="1"/>
    </row>
    <row r="28" spans="1:3" x14ac:dyDescent="0.35">
      <c r="A28">
        <v>0.69813170079773179</v>
      </c>
      <c r="B28" s="2">
        <v>0.91899559640442674</v>
      </c>
      <c r="C28" s="1"/>
    </row>
    <row r="29" spans="1:3" x14ac:dyDescent="0.35">
      <c r="A29">
        <v>0.78539816339744828</v>
      </c>
      <c r="B29" s="2">
        <v>0.93233407821454994</v>
      </c>
      <c r="C29" s="1"/>
    </row>
    <row r="30" spans="1:3" x14ac:dyDescent="0.35">
      <c r="A30">
        <v>0.87266462599716477</v>
      </c>
      <c r="B30" s="2">
        <v>0.9430375410168349</v>
      </c>
      <c r="C30" s="1"/>
    </row>
    <row r="31" spans="1:3" x14ac:dyDescent="0.35">
      <c r="A31">
        <v>0.95993108859688125</v>
      </c>
      <c r="B31" s="2">
        <v>0.9516147888839106</v>
      </c>
      <c r="C31" s="1"/>
    </row>
    <row r="32" spans="1:3" x14ac:dyDescent="0.35">
      <c r="A32">
        <v>1.0471975511965976</v>
      </c>
      <c r="B32" s="2">
        <v>0.9585330732230376</v>
      </c>
      <c r="C32" s="1"/>
    </row>
    <row r="33" spans="1:3" x14ac:dyDescent="0.35">
      <c r="A33">
        <v>1.1344640137963142</v>
      </c>
      <c r="B33" s="2">
        <v>0.96423774056566747</v>
      </c>
      <c r="C33" s="1"/>
    </row>
    <row r="34" spans="1:3" x14ac:dyDescent="0.35">
      <c r="A34">
        <v>1.2217304763960306</v>
      </c>
      <c r="B34" s="2">
        <v>0.96901469255012151</v>
      </c>
      <c r="C34" s="1"/>
    </row>
    <row r="35" spans="1:3" x14ac:dyDescent="0.35">
      <c r="A35">
        <v>1.3089969389957472</v>
      </c>
      <c r="B35" s="2">
        <v>0.97304085953984332</v>
      </c>
      <c r="C35" s="1"/>
    </row>
    <row r="36" spans="1:3" x14ac:dyDescent="0.35">
      <c r="A36">
        <v>1.3962634015954636</v>
      </c>
      <c r="B36" s="2">
        <v>0.97645883478818873</v>
      </c>
      <c r="C36" s="1"/>
    </row>
    <row r="37" spans="1:3" x14ac:dyDescent="0.35">
      <c r="A37">
        <v>1.4835298641951802</v>
      </c>
      <c r="B37" s="2">
        <v>0.97938318052141971</v>
      </c>
      <c r="C37" s="1"/>
    </row>
    <row r="38" spans="1:3" x14ac:dyDescent="0.35">
      <c r="A38">
        <v>1.5707963267948966</v>
      </c>
      <c r="B38" s="2">
        <v>0.98190770709276287</v>
      </c>
      <c r="C38" s="1"/>
    </row>
    <row r="39" spans="1:3" x14ac:dyDescent="0.35">
      <c r="A39">
        <v>1.6580627893946132</v>
      </c>
      <c r="B39" s="2">
        <v>0.98411292593488109</v>
      </c>
      <c r="C39" s="1"/>
    </row>
    <row r="40" spans="1:3" x14ac:dyDescent="0.35">
      <c r="A40">
        <v>1.7453292519943295</v>
      </c>
      <c r="B40" s="2">
        <v>0.98606094981950554</v>
      </c>
      <c r="C40" s="1"/>
    </row>
    <row r="41" spans="1:3" x14ac:dyDescent="0.35">
      <c r="A41">
        <v>1.8325957145940461</v>
      </c>
      <c r="B41" s="2">
        <v>0.98780171455868826</v>
      </c>
      <c r="C41" s="1"/>
    </row>
    <row r="42" spans="1:3" x14ac:dyDescent="0.35">
      <c r="A42">
        <v>1.9198621771937625</v>
      </c>
      <c r="B42" s="2">
        <v>0.98937400212580895</v>
      </c>
      <c r="C42" s="1"/>
    </row>
    <row r="43" spans="1:3" x14ac:dyDescent="0.35">
      <c r="A43">
        <v>2.0071286397934789</v>
      </c>
      <c r="B43" s="2">
        <v>0.99081636826058372</v>
      </c>
      <c r="C43" s="1"/>
    </row>
    <row r="44" spans="1:3" x14ac:dyDescent="0.35">
      <c r="A44">
        <v>2.0943951023931953</v>
      </c>
      <c r="B44" s="2">
        <v>0.99214635360089121</v>
      </c>
      <c r="C44" s="1"/>
    </row>
    <row r="45" spans="1:3" x14ac:dyDescent="0.35">
      <c r="A45">
        <v>2.1816615649929116</v>
      </c>
      <c r="B45" s="2">
        <v>0.99335908829114428</v>
      </c>
      <c r="C45" s="1"/>
    </row>
    <row r="46" spans="1:3" x14ac:dyDescent="0.35">
      <c r="A46">
        <v>2.2689280275926285</v>
      </c>
      <c r="B46" s="2">
        <v>0.99445440941884966</v>
      </c>
      <c r="C46" s="1"/>
    </row>
    <row r="47" spans="1:3" x14ac:dyDescent="0.35">
      <c r="A47">
        <v>2.3561944901923448</v>
      </c>
      <c r="B47" s="2">
        <v>0.99543321816772978</v>
      </c>
      <c r="C47" s="1"/>
    </row>
    <row r="48" spans="1:3" x14ac:dyDescent="0.35">
      <c r="A48">
        <v>2.4434609527920612</v>
      </c>
      <c r="B48" s="2">
        <v>0.99630266000274903</v>
      </c>
      <c r="C48" s="1"/>
    </row>
    <row r="49" spans="1:3" x14ac:dyDescent="0.35">
      <c r="A49">
        <v>2.5307274153917776</v>
      </c>
      <c r="B49" s="2">
        <v>0.99707528794461486</v>
      </c>
      <c r="C49" s="1"/>
    </row>
    <row r="50" spans="1:3" x14ac:dyDescent="0.35">
      <c r="A50">
        <v>2.6179938779914944</v>
      </c>
      <c r="B50" s="2">
        <v>0.99776181865629399</v>
      </c>
      <c r="C50" s="1"/>
    </row>
    <row r="51" spans="1:3" x14ac:dyDescent="0.35">
      <c r="A51">
        <v>2.7052603405912108</v>
      </c>
      <c r="B51" s="2">
        <v>0.99837509842112715</v>
      </c>
      <c r="C51" s="1"/>
    </row>
    <row r="52" spans="1:3" x14ac:dyDescent="0.35">
      <c r="A52">
        <v>2.7925268031909272</v>
      </c>
      <c r="B52" s="2">
        <v>0.99891396133860266</v>
      </c>
      <c r="C52" s="1"/>
    </row>
    <row r="53" spans="1:3" x14ac:dyDescent="0.35">
      <c r="A53">
        <v>2.8797932657906435</v>
      </c>
      <c r="B53" s="2">
        <v>0.99936380761615851</v>
      </c>
      <c r="C53" s="1"/>
    </row>
    <row r="54" spans="1:3" x14ac:dyDescent="0.35">
      <c r="A54">
        <v>2.9670597283903604</v>
      </c>
      <c r="B54" s="2">
        <v>0.99970854004293452</v>
      </c>
      <c r="C54" s="1"/>
    </row>
    <row r="55" spans="1:3" x14ac:dyDescent="0.35">
      <c r="A55">
        <v>3.0543261909900763</v>
      </c>
      <c r="B55" s="2">
        <v>0.99992626301609555</v>
      </c>
      <c r="C55" s="1"/>
    </row>
    <row r="56" spans="1:3" x14ac:dyDescent="0.35">
      <c r="A56">
        <v>3.1415926535897931</v>
      </c>
      <c r="B56" s="2">
        <v>1</v>
      </c>
      <c r="C5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70EF-E213-4B3E-8F3B-8238571622BF}">
  <dimension ref="A2:E56"/>
  <sheetViews>
    <sheetView workbookViewId="0">
      <selection sqref="A1:K27"/>
    </sheetView>
  </sheetViews>
  <sheetFormatPr defaultRowHeight="14.5" x14ac:dyDescent="0.35"/>
  <cols>
    <col min="1" max="1" width="15.36328125" style="3" customWidth="1"/>
    <col min="2" max="2" width="13.1796875" style="3" customWidth="1"/>
    <col min="3" max="3" width="17.36328125" customWidth="1"/>
    <col min="4" max="4" width="11.26953125" customWidth="1"/>
    <col min="5" max="5" width="16.6328125" customWidth="1"/>
  </cols>
  <sheetData>
    <row r="2" spans="3:5" x14ac:dyDescent="0.35">
      <c r="C2" s="1"/>
      <c r="D2" s="1"/>
      <c r="E2" s="1"/>
    </row>
    <row r="3" spans="3:5" x14ac:dyDescent="0.35">
      <c r="C3" s="1"/>
      <c r="D3" s="1"/>
      <c r="E3" s="1"/>
    </row>
    <row r="4" spans="3:5" x14ac:dyDescent="0.35">
      <c r="C4" s="1"/>
      <c r="D4" s="1"/>
      <c r="E4" s="1"/>
    </row>
    <row r="5" spans="3:5" x14ac:dyDescent="0.35">
      <c r="C5" s="1"/>
      <c r="D5" s="1"/>
      <c r="E5" s="1"/>
    </row>
    <row r="6" spans="3:5" x14ac:dyDescent="0.35">
      <c r="C6" s="1"/>
      <c r="D6" s="1"/>
      <c r="E6" s="1"/>
    </row>
    <row r="7" spans="3:5" x14ac:dyDescent="0.35">
      <c r="C7" s="1"/>
      <c r="D7" s="1"/>
      <c r="E7" s="1"/>
    </row>
    <row r="8" spans="3:5" x14ac:dyDescent="0.35">
      <c r="C8" s="1"/>
      <c r="D8" s="1"/>
      <c r="E8" s="1"/>
    </row>
    <row r="9" spans="3:5" x14ac:dyDescent="0.35">
      <c r="C9" s="1"/>
      <c r="D9" s="1"/>
      <c r="E9" s="1"/>
    </row>
    <row r="10" spans="3:5" x14ac:dyDescent="0.35">
      <c r="C10" s="1"/>
      <c r="D10" s="1"/>
      <c r="E10" s="1"/>
    </row>
    <row r="11" spans="3:5" x14ac:dyDescent="0.35">
      <c r="C11" s="1"/>
      <c r="D11" s="1"/>
      <c r="E11" s="1"/>
    </row>
    <row r="12" spans="3:5" x14ac:dyDescent="0.35">
      <c r="C12" s="1"/>
      <c r="D12" s="1"/>
      <c r="E12" s="1"/>
    </row>
    <row r="13" spans="3:5" x14ac:dyDescent="0.35">
      <c r="C13" s="1"/>
      <c r="D13" s="1"/>
      <c r="E13" s="1"/>
    </row>
    <row r="14" spans="3:5" x14ac:dyDescent="0.35">
      <c r="C14" s="1"/>
      <c r="D14" s="1"/>
      <c r="E14" s="1"/>
    </row>
    <row r="15" spans="3:5" x14ac:dyDescent="0.35">
      <c r="C15" s="1"/>
      <c r="D15" s="1"/>
      <c r="E15" s="1"/>
    </row>
    <row r="16" spans="3:5" x14ac:dyDescent="0.35">
      <c r="C16" s="1"/>
      <c r="D16" s="1"/>
      <c r="E16" s="1"/>
    </row>
    <row r="17" spans="3:5" x14ac:dyDescent="0.35">
      <c r="C17" s="1"/>
      <c r="D17" s="1"/>
      <c r="E17" s="1"/>
    </row>
    <row r="18" spans="3:5" x14ac:dyDescent="0.35">
      <c r="C18" s="1"/>
      <c r="D18" s="1"/>
      <c r="E18" s="1"/>
    </row>
    <row r="19" spans="3:5" x14ac:dyDescent="0.35">
      <c r="C19" s="1"/>
      <c r="D19" s="1"/>
      <c r="E19" s="1"/>
    </row>
    <row r="20" spans="3:5" x14ac:dyDescent="0.35">
      <c r="C20" s="1"/>
      <c r="D20" s="1"/>
      <c r="E20" s="1"/>
    </row>
    <row r="21" spans="3:5" x14ac:dyDescent="0.35">
      <c r="C21" s="1"/>
      <c r="D21" s="1"/>
      <c r="E21" s="1"/>
    </row>
    <row r="22" spans="3:5" x14ac:dyDescent="0.35">
      <c r="C22" s="1"/>
      <c r="D22" s="1"/>
      <c r="E22" s="1"/>
    </row>
    <row r="23" spans="3:5" x14ac:dyDescent="0.35">
      <c r="C23" s="1"/>
      <c r="D23" s="1"/>
      <c r="E23" s="1"/>
    </row>
    <row r="24" spans="3:5" x14ac:dyDescent="0.35">
      <c r="C24" s="1"/>
      <c r="D24" s="1"/>
      <c r="E24" s="1"/>
    </row>
    <row r="25" spans="3:5" x14ac:dyDescent="0.35">
      <c r="C25" s="1"/>
      <c r="D25" s="1"/>
      <c r="E25" s="1"/>
    </row>
    <row r="26" spans="3:5" x14ac:dyDescent="0.35">
      <c r="C26" s="1"/>
      <c r="D26" s="1"/>
      <c r="E26" s="1"/>
    </row>
    <row r="27" spans="3:5" x14ac:dyDescent="0.35">
      <c r="C27" s="1"/>
      <c r="D27" s="1"/>
      <c r="E27" s="1"/>
    </row>
    <row r="28" spans="3:5" x14ac:dyDescent="0.35">
      <c r="C28" s="1"/>
      <c r="D28" s="1"/>
      <c r="E28" s="1"/>
    </row>
    <row r="29" spans="3:5" x14ac:dyDescent="0.35">
      <c r="C29" s="1"/>
      <c r="D29" s="1"/>
      <c r="E29" s="1"/>
    </row>
    <row r="30" spans="3:5" x14ac:dyDescent="0.35">
      <c r="C30" s="1"/>
      <c r="D30" s="1"/>
      <c r="E30" s="1"/>
    </row>
    <row r="31" spans="3:5" x14ac:dyDescent="0.35">
      <c r="C31" s="1"/>
      <c r="D31" s="1"/>
      <c r="E31" s="1"/>
    </row>
    <row r="32" spans="3:5" x14ac:dyDescent="0.35">
      <c r="C32" s="1"/>
      <c r="D32" s="1"/>
      <c r="E32" s="1"/>
    </row>
    <row r="33" spans="3:5" x14ac:dyDescent="0.35">
      <c r="C33" s="1"/>
      <c r="D33" s="1"/>
      <c r="E33" s="1"/>
    </row>
    <row r="34" spans="3:5" x14ac:dyDescent="0.35">
      <c r="C34" s="1"/>
      <c r="D34" s="1"/>
      <c r="E34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  <row r="38" spans="3:5" x14ac:dyDescent="0.35">
      <c r="C38" s="1"/>
      <c r="D38" s="1"/>
      <c r="E38" s="1"/>
    </row>
    <row r="39" spans="3:5" x14ac:dyDescent="0.35">
      <c r="C39" s="1"/>
      <c r="D39" s="1"/>
      <c r="E39" s="1"/>
    </row>
    <row r="40" spans="3:5" x14ac:dyDescent="0.35">
      <c r="C40" s="1"/>
      <c r="D40" s="1"/>
      <c r="E40" s="1"/>
    </row>
    <row r="41" spans="3:5" x14ac:dyDescent="0.35">
      <c r="C41" s="1"/>
      <c r="D41" s="1"/>
      <c r="E41" s="1"/>
    </row>
    <row r="42" spans="3:5" x14ac:dyDescent="0.35">
      <c r="C42" s="1"/>
      <c r="D42" s="1"/>
      <c r="E42" s="1"/>
    </row>
    <row r="43" spans="3:5" x14ac:dyDescent="0.35">
      <c r="C43" s="1"/>
      <c r="D43" s="1"/>
      <c r="E43" s="1"/>
    </row>
    <row r="44" spans="3:5" x14ac:dyDescent="0.35">
      <c r="C44" s="1"/>
      <c r="D44" s="1"/>
      <c r="E44" s="1"/>
    </row>
    <row r="45" spans="3:5" x14ac:dyDescent="0.35">
      <c r="C45" s="1"/>
      <c r="D45" s="1"/>
      <c r="E45" s="1"/>
    </row>
    <row r="46" spans="3:5" x14ac:dyDescent="0.35">
      <c r="C46" s="1"/>
      <c r="D46" s="1"/>
      <c r="E46" s="1"/>
    </row>
    <row r="47" spans="3:5" x14ac:dyDescent="0.35">
      <c r="C47" s="1"/>
      <c r="D47" s="1"/>
      <c r="E47" s="1"/>
    </row>
    <row r="48" spans="3:5" x14ac:dyDescent="0.35">
      <c r="C48" s="1"/>
      <c r="D48" s="1"/>
      <c r="E48" s="1"/>
    </row>
    <row r="49" spans="3:5" x14ac:dyDescent="0.35">
      <c r="C49" s="1"/>
      <c r="D49" s="1"/>
      <c r="E49" s="1"/>
    </row>
    <row r="50" spans="3:5" x14ac:dyDescent="0.35">
      <c r="C50" s="1"/>
      <c r="D50" s="1"/>
      <c r="E50" s="1"/>
    </row>
    <row r="51" spans="3:5" x14ac:dyDescent="0.35">
      <c r="C51" s="1"/>
      <c r="D51" s="1"/>
      <c r="E51" s="1"/>
    </row>
    <row r="52" spans="3:5" x14ac:dyDescent="0.35">
      <c r="C52" s="1"/>
      <c r="D52" s="1"/>
      <c r="E52" s="1"/>
    </row>
    <row r="53" spans="3:5" x14ac:dyDescent="0.35">
      <c r="C53" s="1"/>
      <c r="D53" s="1"/>
      <c r="E53" s="1"/>
    </row>
    <row r="54" spans="3:5" x14ac:dyDescent="0.35">
      <c r="C54" s="1"/>
      <c r="D54" s="1"/>
      <c r="E54" s="1"/>
    </row>
    <row r="55" spans="3:5" x14ac:dyDescent="0.35">
      <c r="C55" s="1"/>
      <c r="D55" s="1"/>
      <c r="E55" s="1"/>
    </row>
    <row r="56" spans="3:5" x14ac:dyDescent="0.35">
      <c r="C56" s="1"/>
      <c r="D56" s="1"/>
      <c r="E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2025-12-16T21:14:45Z</dcterms:created>
  <dcterms:modified xsi:type="dcterms:W3CDTF">2025-12-17T01:48:24Z</dcterms:modified>
</cp:coreProperties>
</file>