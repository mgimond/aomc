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-20.04\home\mgimond\aomc\comparison\mobley_problems\"/>
    </mc:Choice>
  </mc:AlternateContent>
  <xr:revisionPtr revIDLastSave="0" documentId="13_ncr:1_{68C35BD5-10E0-4E40-AAD6-C34247159BF6}" xr6:coauthVersionLast="47" xr6:coauthVersionMax="47" xr10:uidLastSave="{00000000-0000-0000-0000-000000000000}"/>
  <bookViews>
    <workbookView xWindow="1250" yWindow="1770" windowWidth="25350" windowHeight="17150" xr2:uid="{4440DA83-5DDF-4FB4-932B-33639122618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2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3" i="1"/>
  <c r="C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2" i="1"/>
  <c r="D45" i="1"/>
  <c r="D44" i="1"/>
  <c r="D43" i="1"/>
  <c r="D42" i="1"/>
  <c r="D41" i="1"/>
  <c r="D40" i="1"/>
  <c r="D39" i="1"/>
  <c r="D38" i="1"/>
  <c r="D36" i="1"/>
  <c r="D35" i="1"/>
  <c r="D34" i="1"/>
  <c r="D33" i="1"/>
  <c r="D32" i="1"/>
  <c r="D31" i="1"/>
  <c r="D30" i="1"/>
  <c r="D28" i="1"/>
  <c r="D27" i="1"/>
  <c r="D26" i="1"/>
  <c r="D25" i="1"/>
  <c r="D56" i="1"/>
  <c r="D55" i="1"/>
  <c r="D54" i="1"/>
  <c r="D53" i="1"/>
  <c r="D52" i="1"/>
  <c r="D51" i="1"/>
  <c r="D50" i="1"/>
  <c r="D49" i="1"/>
  <c r="D48" i="1"/>
  <c r="D47" i="1"/>
  <c r="D46" i="1"/>
  <c r="D37" i="1"/>
  <c r="D29" i="1"/>
  <c r="D24" i="1"/>
  <c r="D23" i="1"/>
  <c r="D17" i="1"/>
  <c r="D16" i="1"/>
  <c r="D15" i="1"/>
  <c r="D14" i="1"/>
  <c r="D13" i="1"/>
  <c r="D12" i="1"/>
  <c r="D11" i="1"/>
  <c r="D10" i="1"/>
  <c r="D9" i="1"/>
  <c r="E9" i="1" s="1"/>
  <c r="D8" i="1"/>
  <c r="D7" i="1"/>
  <c r="D6" i="1"/>
  <c r="D5" i="1"/>
  <c r="D4" i="1"/>
  <c r="D3" i="1"/>
  <c r="D2" i="1"/>
  <c r="E24" i="1" l="1"/>
  <c r="E49" i="1"/>
  <c r="E34" i="1"/>
  <c r="E2" i="1"/>
  <c r="E26" i="1"/>
  <c r="E54" i="1"/>
  <c r="E31" i="1"/>
  <c r="E40" i="1"/>
  <c r="E25" i="1"/>
  <c r="E35" i="1"/>
  <c r="E14" i="1"/>
  <c r="E32" i="1"/>
  <c r="E41" i="1"/>
  <c r="E17" i="1"/>
  <c r="E43" i="1"/>
  <c r="E10" i="1"/>
  <c r="E50" i="1"/>
  <c r="E4" i="1"/>
  <c r="E46" i="1"/>
  <c r="E8" i="1"/>
  <c r="E16" i="1"/>
  <c r="E48" i="1"/>
  <c r="E56" i="1"/>
  <c r="E33" i="1"/>
  <c r="E42" i="1"/>
  <c r="E55" i="1"/>
  <c r="E47" i="1"/>
  <c r="E39" i="1"/>
  <c r="E23" i="1"/>
  <c r="E15" i="1"/>
  <c r="E7" i="1"/>
  <c r="E38" i="1"/>
  <c r="E30" i="1"/>
  <c r="E22" i="1"/>
  <c r="E6" i="1"/>
  <c r="E53" i="1"/>
  <c r="E45" i="1"/>
  <c r="E37" i="1"/>
  <c r="E29" i="1"/>
  <c r="E21" i="1"/>
  <c r="E13" i="1"/>
  <c r="E5" i="1"/>
  <c r="E52" i="1"/>
  <c r="E44" i="1"/>
  <c r="E36" i="1"/>
  <c r="E28" i="1"/>
  <c r="E20" i="1"/>
  <c r="E12" i="1"/>
  <c r="E51" i="1"/>
  <c r="E27" i="1"/>
  <c r="E19" i="1"/>
  <c r="E11" i="1"/>
  <c r="E3" i="1"/>
  <c r="E18" i="1"/>
</calcChain>
</file>

<file path=xl/sharedStrings.xml><?xml version="1.0" encoding="utf-8"?>
<sst xmlns="http://schemas.openxmlformats.org/spreadsheetml/2006/main" count="4" uniqueCount="4">
  <si>
    <t>Angle</t>
  </si>
  <si>
    <t>PF</t>
  </si>
  <si>
    <t>rad</t>
  </si>
  <si>
    <t>rad_center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</si>
</sst>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59EDA-C23D-447E-BC6D-1BE9771ED98F}">
  <dimension ref="A1:F56"/>
  <sheetViews>
    <sheetView tabSelected="1" workbookViewId="0">
      <selection activeCell="F2" sqref="F2:F56"/>
    </sheetView>
  </sheetViews>
  <sheetFormatPr defaultRowHeight="14.5" x14ac:dyDescent="0.35"/>
  <cols>
    <col min="1" max="3" width="14.6328125" customWidth="1"/>
    <col min="4" max="4" width="27.1796875" customWidth="1"/>
    <col min="5" max="5" width="15.453125" customWidth="1"/>
    <col min="6" max="6" width="18.36328125" customWidth="1"/>
  </cols>
  <sheetData>
    <row r="1" spans="1:6" x14ac:dyDescent="0.35">
      <c r="A1" t="s">
        <v>0</v>
      </c>
      <c r="B1" t="s">
        <v>2</v>
      </c>
      <c r="C1" t="s">
        <v>3</v>
      </c>
      <c r="D1" t="s">
        <v>1</v>
      </c>
    </row>
    <row r="2" spans="1:6" x14ac:dyDescent="0.35">
      <c r="A2">
        <v>0.1</v>
      </c>
      <c r="B2">
        <f>A2*PI()/180</f>
        <v>1.7453292519943296E-3</v>
      </c>
      <c r="C2">
        <f>B2/2</f>
        <v>8.726646259971648E-4</v>
      </c>
      <c r="D2">
        <f>1.76661*10^3</f>
        <v>1766.6100000000001</v>
      </c>
      <c r="E2">
        <f xml:space="preserve"> D2/MAX($D$2:$D$56)</f>
        <v>1</v>
      </c>
      <c r="F2">
        <f>E2/SUM($E$2:$E$56)</f>
        <v>0.26912110626135372</v>
      </c>
    </row>
    <row r="3" spans="1:6" x14ac:dyDescent="0.35">
      <c r="A3">
        <v>0.12589</v>
      </c>
      <c r="B3">
        <f t="shared" ref="B3:B56" si="0">A3*PI()/180</f>
        <v>2.1971949953356615E-3</v>
      </c>
      <c r="C3">
        <f>(B3-B2) / 2 +B2</f>
        <v>1.9712621236649954E-3</v>
      </c>
      <c r="D3">
        <f>1.29564*10^3</f>
        <v>1295.6399999999999</v>
      </c>
      <c r="E3">
        <f t="shared" ref="E3:E56" si="1" xml:space="preserve"> D3/MAX($D$2:$D$56)</f>
        <v>0.73340465637577046</v>
      </c>
      <c r="F3">
        <f t="shared" ref="F3:F56" si="2">E3/SUM($E$2:$E$56)</f>
        <v>0.19737467246107535</v>
      </c>
    </row>
    <row r="4" spans="1:6" x14ac:dyDescent="0.35">
      <c r="A4">
        <v>0.15848999999999999</v>
      </c>
      <c r="B4">
        <f t="shared" si="0"/>
        <v>2.7661723314858127E-3</v>
      </c>
      <c r="C4">
        <f t="shared" ref="C4:C56" si="3">(B4-B3) / 2 +B3</f>
        <v>2.4816836634107371E-3</v>
      </c>
      <c r="D4">
        <f>9.50172*10^2</f>
        <v>950.17200000000003</v>
      </c>
      <c r="E4">
        <f t="shared" si="1"/>
        <v>0.5378504593543566</v>
      </c>
      <c r="F4">
        <f t="shared" si="2"/>
        <v>0.14474691062462172</v>
      </c>
    </row>
    <row r="5" spans="1:6" x14ac:dyDescent="0.35">
      <c r="A5">
        <v>0.19953000000000001</v>
      </c>
      <c r="B5">
        <f t="shared" si="0"/>
        <v>3.4824554565042859E-3</v>
      </c>
      <c r="C5">
        <f t="shared" si="3"/>
        <v>3.1243138939950491E-3</v>
      </c>
      <c r="D5">
        <f>6.99092*10^2</f>
        <v>699.09199999999998</v>
      </c>
      <c r="E5">
        <f t="shared" si="1"/>
        <v>0.39572514590090624</v>
      </c>
      <c r="F5">
        <f t="shared" si="2"/>
        <v>0.1064979890402875</v>
      </c>
    </row>
    <row r="6" spans="1:6" x14ac:dyDescent="0.35">
      <c r="A6">
        <v>0.25119000000000002</v>
      </c>
      <c r="B6">
        <f t="shared" si="0"/>
        <v>4.3840925480845569E-3</v>
      </c>
      <c r="C6">
        <f t="shared" si="3"/>
        <v>3.9332740022944212E-3</v>
      </c>
      <c r="D6">
        <f>5.13687*10^2</f>
        <v>513.68700000000001</v>
      </c>
      <c r="E6">
        <f t="shared" si="1"/>
        <v>0.29077555317812082</v>
      </c>
      <c r="F6">
        <f t="shared" si="2"/>
        <v>7.8253838545052967E-2</v>
      </c>
    </row>
    <row r="7" spans="1:6" x14ac:dyDescent="0.35">
      <c r="A7">
        <v>0.31623000000000001</v>
      </c>
      <c r="B7">
        <f t="shared" si="0"/>
        <v>5.519254693581669E-3</v>
      </c>
      <c r="C7">
        <f t="shared" si="3"/>
        <v>4.9516736208331125E-3</v>
      </c>
      <c r="D7">
        <f>3.76373*10^2</f>
        <v>376.37299999999999</v>
      </c>
      <c r="E7">
        <f t="shared" si="1"/>
        <v>0.21304815437476293</v>
      </c>
      <c r="F7">
        <f t="shared" si="2"/>
        <v>5.7335754992275868E-2</v>
      </c>
    </row>
    <row r="8" spans="1:6" x14ac:dyDescent="0.35">
      <c r="A8">
        <v>0.39811000000000002</v>
      </c>
      <c r="B8">
        <f t="shared" si="0"/>
        <v>6.9483302851146254E-3</v>
      </c>
      <c r="C8">
        <f t="shared" si="3"/>
        <v>6.2337924893481472E-3</v>
      </c>
      <c r="D8">
        <f>2.76318*10^2</f>
        <v>276.31800000000004</v>
      </c>
      <c r="E8">
        <f t="shared" si="1"/>
        <v>0.1564114320648021</v>
      </c>
      <c r="F8">
        <f t="shared" si="2"/>
        <v>4.2093617629202114E-2</v>
      </c>
    </row>
    <row r="9" spans="1:6" x14ac:dyDescent="0.35">
      <c r="A9">
        <v>0.50119000000000002</v>
      </c>
      <c r="B9">
        <f t="shared" si="0"/>
        <v>8.7474156780703808E-3</v>
      </c>
      <c r="C9">
        <f t="shared" si="3"/>
        <v>7.847872981592504E-3</v>
      </c>
      <c r="D9">
        <f>2.18839*10^2</f>
        <v>218.839</v>
      </c>
      <c r="E9">
        <f t="shared" si="1"/>
        <v>0.12387510542790994</v>
      </c>
      <c r="F9">
        <f t="shared" si="2"/>
        <v>3.3337405411000949E-2</v>
      </c>
    </row>
    <row r="10" spans="1:6" x14ac:dyDescent="0.35">
      <c r="A10">
        <v>0.63095999999999997</v>
      </c>
      <c r="B10">
        <f t="shared" si="0"/>
        <v>1.1012329448383422E-2</v>
      </c>
      <c r="C10">
        <f t="shared" si="3"/>
        <v>9.8798725632269005E-3</v>
      </c>
      <c r="D10">
        <f>1.44369*10^2</f>
        <v>144.369</v>
      </c>
      <c r="E10">
        <f t="shared" si="1"/>
        <v>8.1720923123949255E-2</v>
      </c>
      <c r="F10">
        <f t="shared" si="2"/>
        <v>2.1992825235816266E-2</v>
      </c>
    </row>
    <row r="11" spans="1:6" x14ac:dyDescent="0.35">
      <c r="A11">
        <v>0.79432999999999998</v>
      </c>
      <c r="B11">
        <f t="shared" si="0"/>
        <v>1.3863673847366559E-2</v>
      </c>
      <c r="C11">
        <f t="shared" si="3"/>
        <v>1.243800164787499E-2</v>
      </c>
      <c r="D11">
        <f>1.02241*10^2</f>
        <v>102.241</v>
      </c>
      <c r="E11">
        <f t="shared" si="1"/>
        <v>5.7874120490657245E-2</v>
      </c>
      <c r="F11">
        <f t="shared" si="2"/>
        <v>1.5575147330348559E-2</v>
      </c>
    </row>
    <row r="12" spans="1:6" x14ac:dyDescent="0.35">
      <c r="A12">
        <v>1</v>
      </c>
      <c r="B12">
        <f t="shared" si="0"/>
        <v>1.7453292519943295E-2</v>
      </c>
      <c r="C12">
        <f t="shared" si="3"/>
        <v>1.5658483183654925E-2</v>
      </c>
      <c r="D12">
        <f>7.16082*10^1</f>
        <v>71.608199999999997</v>
      </c>
      <c r="E12">
        <f t="shared" si="1"/>
        <v>4.0534243551208243E-2</v>
      </c>
      <c r="F12">
        <f t="shared" si="2"/>
        <v>1.0908620465968306E-2</v>
      </c>
    </row>
    <row r="13" spans="1:6" x14ac:dyDescent="0.35">
      <c r="A13">
        <v>1.2588999999999999</v>
      </c>
      <c r="B13">
        <f t="shared" si="0"/>
        <v>2.197194995335661E-2</v>
      </c>
      <c r="C13">
        <f t="shared" si="3"/>
        <v>1.9712621236649953E-2</v>
      </c>
      <c r="D13">
        <f>4.95803*10^1</f>
        <v>49.580300000000001</v>
      </c>
      <c r="E13">
        <f t="shared" si="1"/>
        <v>2.8065220959917581E-2</v>
      </c>
      <c r="F13">
        <f t="shared" si="2"/>
        <v>7.552943312202352E-3</v>
      </c>
    </row>
    <row r="14" spans="1:6" x14ac:dyDescent="0.35">
      <c r="A14">
        <v>1.5849</v>
      </c>
      <c r="B14">
        <f t="shared" si="0"/>
        <v>2.7661723314858128E-2</v>
      </c>
      <c r="C14">
        <f t="shared" si="3"/>
        <v>2.4816836634107369E-2</v>
      </c>
      <c r="D14">
        <f>3.39511*10^1</f>
        <v>33.951099999999997</v>
      </c>
      <c r="E14">
        <f t="shared" si="1"/>
        <v>1.9218220207063243E-2</v>
      </c>
      <c r="F14">
        <f t="shared" si="2"/>
        <v>5.1720286824991626E-3</v>
      </c>
    </row>
    <row r="15" spans="1:6" x14ac:dyDescent="0.35">
      <c r="A15">
        <v>1.9953000000000001</v>
      </c>
      <c r="B15">
        <f t="shared" si="0"/>
        <v>3.4824554565042853E-2</v>
      </c>
      <c r="C15">
        <f t="shared" si="3"/>
        <v>3.1243138939950489E-2</v>
      </c>
      <c r="D15">
        <f>2.28129*10^1</f>
        <v>22.812899999999999</v>
      </c>
      <c r="E15">
        <f t="shared" si="1"/>
        <v>1.2913376466792329E-2</v>
      </c>
      <c r="F15">
        <f t="shared" si="2"/>
        <v>3.4752621603124831E-3</v>
      </c>
    </row>
    <row r="16" spans="1:6" x14ac:dyDescent="0.35">
      <c r="A16">
        <v>2.5118999999999998</v>
      </c>
      <c r="B16">
        <f t="shared" si="0"/>
        <v>4.3840925480845561E-2</v>
      </c>
      <c r="C16">
        <f t="shared" si="3"/>
        <v>3.9332740022944207E-2</v>
      </c>
      <c r="D16">
        <f>1.51622*10^1</f>
        <v>15.162199999999999</v>
      </c>
      <c r="E16">
        <f t="shared" si="1"/>
        <v>8.5826526511227699E-3</v>
      </c>
      <c r="F16">
        <f t="shared" si="2"/>
        <v>2.3097729761271005E-3</v>
      </c>
    </row>
    <row r="17" spans="1:6" x14ac:dyDescent="0.35">
      <c r="A17">
        <v>3.1623000000000001</v>
      </c>
      <c r="B17">
        <f t="shared" si="0"/>
        <v>5.5192546935816683E-2</v>
      </c>
      <c r="C17">
        <f t="shared" si="3"/>
        <v>4.9516736208331122E-2</v>
      </c>
      <c r="D17">
        <f>1.00154*10^1</f>
        <v>10.015400000000001</v>
      </c>
      <c r="E17">
        <f t="shared" si="1"/>
        <v>5.6692761843304415E-3</v>
      </c>
      <c r="F17">
        <f t="shared" si="2"/>
        <v>1.5257218784281549E-3</v>
      </c>
    </row>
    <row r="18" spans="1:6" x14ac:dyDescent="0.35">
      <c r="A18">
        <v>3.9811000000000001</v>
      </c>
      <c r="B18">
        <f t="shared" si="0"/>
        <v>6.9483302851146261E-2</v>
      </c>
      <c r="C18">
        <f t="shared" si="3"/>
        <v>6.2337924893481472E-2</v>
      </c>
      <c r="D18">
        <v>6.5795700000000004</v>
      </c>
      <c r="E18">
        <f t="shared" si="1"/>
        <v>3.7244043676872654E-3</v>
      </c>
      <c r="F18">
        <f t="shared" si="2"/>
        <v>1.0023158235966145E-3</v>
      </c>
    </row>
    <row r="19" spans="1:6" x14ac:dyDescent="0.35">
      <c r="A19">
        <v>5.0118999999999998</v>
      </c>
      <c r="B19">
        <f t="shared" si="0"/>
        <v>8.7474156780703791E-2</v>
      </c>
      <c r="C19">
        <f t="shared" si="3"/>
        <v>7.8478729815925019E-2</v>
      </c>
      <c r="D19">
        <v>4.2953000000000001</v>
      </c>
      <c r="E19">
        <f t="shared" si="1"/>
        <v>2.4313798744488029E-3</v>
      </c>
      <c r="F19">
        <f t="shared" si="2"/>
        <v>6.5433564155325315E-4</v>
      </c>
    </row>
    <row r="20" spans="1:6" x14ac:dyDescent="0.35">
      <c r="A20">
        <v>6.3095999999999997</v>
      </c>
      <c r="B20">
        <f t="shared" si="0"/>
        <v>0.11012329448383421</v>
      </c>
      <c r="C20">
        <f t="shared" si="3"/>
        <v>9.8798725632268991E-2</v>
      </c>
      <c r="D20">
        <v>2.8069000000000002</v>
      </c>
      <c r="E20">
        <f t="shared" si="1"/>
        <v>1.5888622842619481E-3</v>
      </c>
      <c r="F20">
        <f t="shared" si="2"/>
        <v>4.2759637563751694E-4</v>
      </c>
    </row>
    <row r="21" spans="1:6" x14ac:dyDescent="0.35">
      <c r="A21">
        <v>7.9432999999999998</v>
      </c>
      <c r="B21">
        <f t="shared" si="0"/>
        <v>0.13863673847366556</v>
      </c>
      <c r="C21">
        <f t="shared" si="3"/>
        <v>0.12438001647874988</v>
      </c>
      <c r="D21">
        <v>1.8192699999999999</v>
      </c>
      <c r="E21">
        <f t="shared" si="1"/>
        <v>1.0298085032916149E-3</v>
      </c>
      <c r="F21">
        <f t="shared" si="2"/>
        <v>2.7714320364318834E-4</v>
      </c>
    </row>
    <row r="22" spans="1:6" x14ac:dyDescent="0.35">
      <c r="A22">
        <v>10</v>
      </c>
      <c r="B22">
        <f t="shared" si="0"/>
        <v>0.17453292519943295</v>
      </c>
      <c r="C22">
        <f t="shared" si="3"/>
        <v>0.15658483183654925</v>
      </c>
      <c r="D22">
        <v>1.1525700000000001</v>
      </c>
      <c r="E22">
        <f t="shared" si="1"/>
        <v>6.5241903985599535E-4</v>
      </c>
      <c r="F22">
        <f t="shared" si="2"/>
        <v>1.755797337520157E-4</v>
      </c>
    </row>
    <row r="23" spans="1:6" x14ac:dyDescent="0.35">
      <c r="A23">
        <v>15</v>
      </c>
      <c r="B23">
        <f t="shared" si="0"/>
        <v>0.26179938779914941</v>
      </c>
      <c r="C23">
        <f t="shared" si="3"/>
        <v>0.21816615649929116</v>
      </c>
      <c r="D23">
        <f>4.89344*10^-1</f>
        <v>0.489344</v>
      </c>
      <c r="E23">
        <f t="shared" si="1"/>
        <v>2.7699605459043021E-4</v>
      </c>
      <c r="F23">
        <f t="shared" si="2"/>
        <v>7.4545484641406906E-5</v>
      </c>
    </row>
    <row r="24" spans="1:6" x14ac:dyDescent="0.35">
      <c r="A24">
        <v>20</v>
      </c>
      <c r="B24">
        <f t="shared" si="0"/>
        <v>0.3490658503988659</v>
      </c>
      <c r="C24">
        <f t="shared" si="3"/>
        <v>0.30543261909900765</v>
      </c>
      <c r="D24">
        <f xml:space="preserve"> 2.44424*10^-1</f>
        <v>0.24442400000000003</v>
      </c>
      <c r="E24">
        <f t="shared" si="1"/>
        <v>1.3835764543391015E-4</v>
      </c>
      <c r="F24">
        <f t="shared" si="2"/>
        <v>3.7234962598890039E-5</v>
      </c>
    </row>
    <row r="25" spans="1:6" x14ac:dyDescent="0.35">
      <c r="A25">
        <v>25</v>
      </c>
      <c r="B25">
        <f t="shared" si="0"/>
        <v>0.43633231299858238</v>
      </c>
      <c r="C25">
        <f t="shared" si="3"/>
        <v>0.39269908169872414</v>
      </c>
      <c r="D25">
        <f>1.47151*10^-1</f>
        <v>0.147151</v>
      </c>
      <c r="E25">
        <f t="shared" si="1"/>
        <v>8.3295690616491466E-5</v>
      </c>
      <c r="F25">
        <f t="shared" si="2"/>
        <v>2.2416628405513647E-5</v>
      </c>
    </row>
    <row r="26" spans="1:6" x14ac:dyDescent="0.35">
      <c r="A26">
        <v>30</v>
      </c>
      <c r="B26">
        <f t="shared" si="0"/>
        <v>0.52359877559829882</v>
      </c>
      <c r="C26">
        <f t="shared" si="3"/>
        <v>0.47996554429844063</v>
      </c>
      <c r="D26">
        <f>8.60848*10^-2</f>
        <v>8.6084800000000003E-2</v>
      </c>
      <c r="E26">
        <f t="shared" si="1"/>
        <v>4.8728808282529813E-5</v>
      </c>
      <c r="F26">
        <f t="shared" si="2"/>
        <v>1.311395079179184E-5</v>
      </c>
    </row>
    <row r="27" spans="1:6" x14ac:dyDescent="0.35">
      <c r="A27">
        <v>35</v>
      </c>
      <c r="B27">
        <f t="shared" si="0"/>
        <v>0.6108652381980153</v>
      </c>
      <c r="C27">
        <f t="shared" si="3"/>
        <v>0.56723200689815712</v>
      </c>
      <c r="D27">
        <f>5.93075*10^-2</f>
        <v>5.9307499999999999E-2</v>
      </c>
      <c r="E27">
        <f t="shared" si="1"/>
        <v>3.3571359836070209E-5</v>
      </c>
      <c r="F27">
        <f t="shared" si="2"/>
        <v>9.0347614977811938E-6</v>
      </c>
    </row>
    <row r="28" spans="1:6" x14ac:dyDescent="0.35">
      <c r="A28">
        <v>40</v>
      </c>
      <c r="B28">
        <f t="shared" si="0"/>
        <v>0.69813170079773179</v>
      </c>
      <c r="C28">
        <f t="shared" si="3"/>
        <v>0.65449846949787349</v>
      </c>
      <c r="D28">
        <f>4.20985*10^-2</f>
        <v>4.2098500000000004E-2</v>
      </c>
      <c r="E28">
        <f t="shared" si="1"/>
        <v>2.3830103984467427E-5</v>
      </c>
      <c r="F28">
        <f t="shared" si="2"/>
        <v>6.4131839466229672E-6</v>
      </c>
    </row>
    <row r="29" spans="1:6" x14ac:dyDescent="0.35">
      <c r="A29">
        <v>45</v>
      </c>
      <c r="B29">
        <f t="shared" si="0"/>
        <v>0.78539816339744828</v>
      </c>
      <c r="C29">
        <f t="shared" si="3"/>
        <v>0.74176493209759009</v>
      </c>
      <c r="D29">
        <f>3.06722*10^-2</f>
        <v>3.06722E-2</v>
      </c>
      <c r="E29">
        <f t="shared" si="1"/>
        <v>1.7362179541607937E-5</v>
      </c>
      <c r="F29">
        <f t="shared" si="2"/>
        <v>4.6725289653457721E-6</v>
      </c>
    </row>
    <row r="30" spans="1:6" x14ac:dyDescent="0.35">
      <c r="A30">
        <v>50</v>
      </c>
      <c r="B30">
        <f t="shared" si="0"/>
        <v>0.87266462599716477</v>
      </c>
      <c r="C30">
        <f t="shared" si="3"/>
        <v>0.82903139469730647</v>
      </c>
      <c r="D30">
        <f>2.27533*10^-2</f>
        <v>2.2753300000000001E-2</v>
      </c>
      <c r="E30">
        <f t="shared" si="1"/>
        <v>1.2879639535607745E-5</v>
      </c>
      <c r="F30">
        <f t="shared" si="2"/>
        <v>3.4661828400702245E-6</v>
      </c>
    </row>
    <row r="31" spans="1:6" x14ac:dyDescent="0.35">
      <c r="A31">
        <v>55</v>
      </c>
      <c r="B31">
        <f t="shared" si="0"/>
        <v>0.95993108859688125</v>
      </c>
      <c r="C31">
        <f t="shared" si="3"/>
        <v>0.91629785729702307</v>
      </c>
      <c r="D31">
        <f>1.69904*10^-2</f>
        <v>1.6990400000000003E-2</v>
      </c>
      <c r="E31">
        <f t="shared" si="1"/>
        <v>9.6175160335331512E-6</v>
      </c>
      <c r="F31">
        <f t="shared" si="2"/>
        <v>2.5882765544307486E-6</v>
      </c>
    </row>
    <row r="32" spans="1:6" x14ac:dyDescent="0.35">
      <c r="A32">
        <v>60</v>
      </c>
      <c r="B32">
        <f t="shared" si="0"/>
        <v>1.0471975511965976</v>
      </c>
      <c r="C32">
        <f t="shared" si="3"/>
        <v>1.0035643198967394</v>
      </c>
      <c r="D32">
        <f>1.31254*10^-2</f>
        <v>1.3125400000000001E-2</v>
      </c>
      <c r="E32">
        <f t="shared" si="1"/>
        <v>7.4297100095663444E-6</v>
      </c>
      <c r="F32">
        <f t="shared" si="2"/>
        <v>1.9994917769755476E-6</v>
      </c>
    </row>
    <row r="33" spans="1:6" x14ac:dyDescent="0.35">
      <c r="A33">
        <v>65</v>
      </c>
      <c r="B33">
        <f t="shared" si="0"/>
        <v>1.1344640137963142</v>
      </c>
      <c r="C33">
        <f t="shared" si="3"/>
        <v>1.090830782496456</v>
      </c>
      <c r="D33">
        <f>1.04625*10^-2</f>
        <v>1.04625E-2</v>
      </c>
      <c r="E33">
        <f t="shared" si="1"/>
        <v>5.9223597738040646E-6</v>
      </c>
      <c r="F33">
        <f t="shared" si="2"/>
        <v>1.5938320140038906E-6</v>
      </c>
    </row>
    <row r="34" spans="1:6" x14ac:dyDescent="0.35">
      <c r="A34">
        <v>70</v>
      </c>
      <c r="B34">
        <f t="shared" si="0"/>
        <v>1.2217304763960306</v>
      </c>
      <c r="C34">
        <f t="shared" si="3"/>
        <v>1.1780972450961724</v>
      </c>
      <c r="D34">
        <f>8.48826*10^-3</f>
        <v>8.4882600000000009E-3</v>
      </c>
      <c r="E34">
        <f t="shared" si="1"/>
        <v>4.8048295888736055E-6</v>
      </c>
      <c r="F34">
        <f t="shared" si="2"/>
        <v>1.2930810543549503E-6</v>
      </c>
    </row>
    <row r="35" spans="1:6" x14ac:dyDescent="0.35">
      <c r="A35">
        <v>75</v>
      </c>
      <c r="B35">
        <f t="shared" si="0"/>
        <v>1.3089969389957472</v>
      </c>
      <c r="C35">
        <f t="shared" si="3"/>
        <v>1.2653637076958888</v>
      </c>
      <c r="D35">
        <f>6.97601*10^-3</f>
        <v>6.9760099999999995E-3</v>
      </c>
      <c r="E35">
        <f t="shared" si="1"/>
        <v>3.9488115656539921E-6</v>
      </c>
      <c r="F35">
        <f t="shared" si="2"/>
        <v>1.0627085369664308E-6</v>
      </c>
    </row>
    <row r="36" spans="1:6" x14ac:dyDescent="0.35">
      <c r="A36">
        <v>80</v>
      </c>
      <c r="B36">
        <f t="shared" si="0"/>
        <v>1.3962634015954636</v>
      </c>
      <c r="C36">
        <f t="shared" si="3"/>
        <v>1.3526301702956054</v>
      </c>
      <c r="D36">
        <f>5.84232*10^-3</f>
        <v>5.8423199999999998E-3</v>
      </c>
      <c r="E36">
        <f t="shared" si="1"/>
        <v>3.3070796610457312E-6</v>
      </c>
      <c r="F36">
        <f t="shared" si="2"/>
        <v>8.900049368750499E-7</v>
      </c>
    </row>
    <row r="37" spans="1:6" x14ac:dyDescent="0.35">
      <c r="A37">
        <v>85</v>
      </c>
      <c r="B37">
        <f t="shared" si="0"/>
        <v>1.4835298641951802</v>
      </c>
      <c r="C37">
        <f t="shared" si="3"/>
        <v>1.439896632895322</v>
      </c>
      <c r="D37">
        <f xml:space="preserve"> 4.95306*10^-3</f>
        <v>4.9530599999999996E-3</v>
      </c>
      <c r="E37">
        <f t="shared" si="1"/>
        <v>2.8037087982067344E-6</v>
      </c>
      <c r="F37">
        <f t="shared" si="2"/>
        <v>7.5453721340808695E-7</v>
      </c>
    </row>
    <row r="38" spans="1:6" x14ac:dyDescent="0.35">
      <c r="A38">
        <v>90</v>
      </c>
      <c r="B38">
        <f t="shared" si="0"/>
        <v>1.5707963267948966</v>
      </c>
      <c r="C38">
        <f t="shared" si="3"/>
        <v>1.5271630954950384</v>
      </c>
      <c r="D38">
        <f>4.29232*10^-3</f>
        <v>4.2923200000000005E-3</v>
      </c>
      <c r="E38">
        <f t="shared" si="1"/>
        <v>2.4296930278895739E-6</v>
      </c>
      <c r="F38">
        <f t="shared" si="2"/>
        <v>6.5388167554114036E-7</v>
      </c>
    </row>
    <row r="39" spans="1:6" x14ac:dyDescent="0.35">
      <c r="A39">
        <v>95</v>
      </c>
      <c r="B39">
        <f t="shared" si="0"/>
        <v>1.6580627893946132</v>
      </c>
      <c r="C39">
        <f t="shared" si="3"/>
        <v>1.6144295580947547</v>
      </c>
      <c r="D39">
        <f>3.78161*10^-3</f>
        <v>3.7816100000000004E-3</v>
      </c>
      <c r="E39">
        <f t="shared" si="1"/>
        <v>2.1406026231030053E-6</v>
      </c>
      <c r="F39">
        <f t="shared" si="2"/>
        <v>5.7608134599543647E-7</v>
      </c>
    </row>
    <row r="40" spans="1:6" x14ac:dyDescent="0.35">
      <c r="A40">
        <v>100</v>
      </c>
      <c r="B40">
        <f t="shared" si="0"/>
        <v>1.7453292519943295</v>
      </c>
      <c r="C40">
        <f t="shared" si="3"/>
        <v>1.7016960206944713</v>
      </c>
      <c r="D40">
        <f>3.40405*10^-3</f>
        <v>3.40405E-3</v>
      </c>
      <c r="E40">
        <f t="shared" si="1"/>
        <v>1.9268825603840121E-6</v>
      </c>
      <c r="F40">
        <f t="shared" si="2"/>
        <v>5.1856476628625509E-7</v>
      </c>
    </row>
    <row r="41" spans="1:6" x14ac:dyDescent="0.35">
      <c r="A41">
        <v>105</v>
      </c>
      <c r="B41">
        <f t="shared" si="0"/>
        <v>1.8325957145940461</v>
      </c>
      <c r="C41">
        <f t="shared" si="3"/>
        <v>1.7889624832941879</v>
      </c>
      <c r="D41">
        <f>3.11591*10^-3</f>
        <v>3.1159099999999999E-3</v>
      </c>
      <c r="E41">
        <f t="shared" si="1"/>
        <v>1.7637792155597442E-6</v>
      </c>
      <c r="F41">
        <f t="shared" si="2"/>
        <v>4.7467021369222109E-7</v>
      </c>
    </row>
    <row r="42" spans="1:6" x14ac:dyDescent="0.35">
      <c r="A42">
        <v>110</v>
      </c>
      <c r="B42">
        <f t="shared" si="0"/>
        <v>1.9198621771937625</v>
      </c>
      <c r="C42">
        <f t="shared" si="3"/>
        <v>1.8762289458939043</v>
      </c>
      <c r="D42">
        <f>2.91222*10^-3</f>
        <v>2.9122200000000001E-3</v>
      </c>
      <c r="E42">
        <f t="shared" si="1"/>
        <v>1.648479290845178E-6</v>
      </c>
      <c r="F42">
        <f t="shared" si="2"/>
        <v>4.4364057040118622E-7</v>
      </c>
    </row>
    <row r="43" spans="1:6" x14ac:dyDescent="0.35">
      <c r="A43">
        <v>115</v>
      </c>
      <c r="B43">
        <f t="shared" si="0"/>
        <v>2.0071286397934789</v>
      </c>
      <c r="C43">
        <f t="shared" si="3"/>
        <v>1.9634954084936207</v>
      </c>
      <c r="D43">
        <f>2.79696*10^-3</f>
        <v>2.7969599999999998E-3</v>
      </c>
      <c r="E43">
        <f t="shared" si="1"/>
        <v>1.5832356886919012E-6</v>
      </c>
      <c r="F43">
        <f t="shared" si="2"/>
        <v>4.260821400132207E-7</v>
      </c>
    </row>
    <row r="44" spans="1:6" x14ac:dyDescent="0.35">
      <c r="A44">
        <v>120</v>
      </c>
      <c r="B44">
        <f t="shared" si="0"/>
        <v>2.0943951023931953</v>
      </c>
      <c r="C44">
        <f t="shared" si="3"/>
        <v>2.0507618710933371</v>
      </c>
      <c r="D44">
        <f>2.68568*10^-3</f>
        <v>2.6856800000000002E-3</v>
      </c>
      <c r="E44">
        <f t="shared" si="1"/>
        <v>1.5202449889902129E-6</v>
      </c>
      <c r="F44">
        <f t="shared" si="2"/>
        <v>4.0913001322532565E-7</v>
      </c>
    </row>
    <row r="45" spans="1:6" x14ac:dyDescent="0.35">
      <c r="A45">
        <v>125</v>
      </c>
      <c r="B45">
        <f t="shared" si="0"/>
        <v>2.1816615649929116</v>
      </c>
      <c r="C45">
        <f t="shared" si="3"/>
        <v>2.1380283336930535</v>
      </c>
      <c r="D45">
        <f>2.57142*10^-3</f>
        <v>2.57142E-3</v>
      </c>
      <c r="E45">
        <f t="shared" si="1"/>
        <v>1.4555674427292951E-6</v>
      </c>
      <c r="F45">
        <f t="shared" si="2"/>
        <v>3.9172392042531758E-7</v>
      </c>
    </row>
    <row r="46" spans="1:6" x14ac:dyDescent="0.35">
      <c r="A46">
        <v>130</v>
      </c>
      <c r="B46">
        <f t="shared" si="0"/>
        <v>2.2689280275926285</v>
      </c>
      <c r="C46">
        <f t="shared" si="3"/>
        <v>2.2252947962927703</v>
      </c>
      <c r="D46">
        <f>2.47603*10^-3</f>
        <v>2.4760300000000002E-3</v>
      </c>
      <c r="E46">
        <f t="shared" si="1"/>
        <v>1.401571371157188E-6</v>
      </c>
      <c r="F46">
        <f t="shared" si="2"/>
        <v>3.7719243791006486E-7</v>
      </c>
    </row>
    <row r="47" spans="1:6" x14ac:dyDescent="0.35">
      <c r="A47">
        <v>135</v>
      </c>
      <c r="B47">
        <f t="shared" si="0"/>
        <v>2.3561944901923448</v>
      </c>
      <c r="C47">
        <f t="shared" si="3"/>
        <v>2.3125612588924866</v>
      </c>
      <c r="D47">
        <f>2.37667*10^-3</f>
        <v>2.37667E-3</v>
      </c>
      <c r="E47">
        <f t="shared" si="1"/>
        <v>1.3453280576924165E-6</v>
      </c>
      <c r="F47">
        <f t="shared" si="2"/>
        <v>3.6205617517062144E-7</v>
      </c>
    </row>
    <row r="48" spans="1:6" x14ac:dyDescent="0.35">
      <c r="A48">
        <v>140</v>
      </c>
      <c r="B48">
        <f t="shared" si="0"/>
        <v>2.4434609527920612</v>
      </c>
      <c r="C48">
        <f t="shared" si="3"/>
        <v>2.399827721492203</v>
      </c>
      <c r="D48">
        <f>2.32898*10^-3</f>
        <v>2.32898E-3</v>
      </c>
      <c r="E48">
        <f t="shared" si="1"/>
        <v>1.3183328521858247E-6</v>
      </c>
      <c r="F48">
        <f t="shared" si="2"/>
        <v>3.5479119560093489E-7</v>
      </c>
    </row>
    <row r="49" spans="1:6" x14ac:dyDescent="0.35">
      <c r="A49">
        <v>145</v>
      </c>
      <c r="B49">
        <f t="shared" si="0"/>
        <v>2.5307274153917776</v>
      </c>
      <c r="C49">
        <f t="shared" si="3"/>
        <v>2.4870941840919194</v>
      </c>
      <c r="D49">
        <f>2.31308*10^-3</f>
        <v>2.3130799999999999E-3</v>
      </c>
      <c r="E49">
        <f t="shared" si="1"/>
        <v>1.3093325634973195E-6</v>
      </c>
      <c r="F49">
        <f t="shared" si="2"/>
        <v>3.5236902795241283E-7</v>
      </c>
    </row>
    <row r="50" spans="1:6" x14ac:dyDescent="0.35">
      <c r="A50">
        <v>150</v>
      </c>
      <c r="B50">
        <f t="shared" si="0"/>
        <v>2.6179938779914944</v>
      </c>
      <c r="C50">
        <f t="shared" si="3"/>
        <v>2.5743606466916358</v>
      </c>
      <c r="D50">
        <f>2.36475*10^-3</f>
        <v>2.3647500000000001E-3</v>
      </c>
      <c r="E50">
        <f t="shared" si="1"/>
        <v>1.3385806714554994E-6</v>
      </c>
      <c r="F50">
        <f t="shared" si="2"/>
        <v>3.602403111221697E-7</v>
      </c>
    </row>
    <row r="51" spans="1:6" x14ac:dyDescent="0.35">
      <c r="A51">
        <v>155</v>
      </c>
      <c r="B51">
        <f t="shared" si="0"/>
        <v>2.7052603405912108</v>
      </c>
      <c r="C51">
        <f t="shared" si="3"/>
        <v>2.6616271092913526</v>
      </c>
      <c r="D51">
        <f>2.50584*10^-3</f>
        <v>2.5058400000000001E-3</v>
      </c>
      <c r="E51">
        <f t="shared" si="1"/>
        <v>1.4184454973084041E-6</v>
      </c>
      <c r="F51">
        <f t="shared" si="2"/>
        <v>3.8173362140707379E-7</v>
      </c>
    </row>
    <row r="52" spans="1:6" x14ac:dyDescent="0.35">
      <c r="A52">
        <v>160</v>
      </c>
      <c r="B52">
        <f t="shared" si="0"/>
        <v>2.7925268031909272</v>
      </c>
      <c r="C52">
        <f t="shared" si="3"/>
        <v>2.748893571891069</v>
      </c>
      <c r="D52">
        <f>2.66183*10^-3</f>
        <v>2.66183E-3</v>
      </c>
      <c r="E52">
        <f t="shared" si="1"/>
        <v>1.5067445559574552E-6</v>
      </c>
      <c r="F52">
        <f t="shared" si="2"/>
        <v>4.0549676175254253E-7</v>
      </c>
    </row>
    <row r="53" spans="1:6" x14ac:dyDescent="0.35">
      <c r="A53">
        <v>165</v>
      </c>
      <c r="B53">
        <f t="shared" si="0"/>
        <v>2.8797932657906435</v>
      </c>
      <c r="C53">
        <f t="shared" si="3"/>
        <v>2.8361600344907854</v>
      </c>
      <c r="D53">
        <f>2.83472*10^-3</f>
        <v>2.8347199999999998E-3</v>
      </c>
      <c r="E53">
        <f t="shared" si="1"/>
        <v>1.6046099591873699E-6</v>
      </c>
      <c r="F53">
        <f t="shared" si="2"/>
        <v>4.3183440733449069E-7</v>
      </c>
    </row>
    <row r="54" spans="1:6" x14ac:dyDescent="0.35">
      <c r="A54">
        <v>170</v>
      </c>
      <c r="B54">
        <f t="shared" si="0"/>
        <v>2.9670597283903604</v>
      </c>
      <c r="C54">
        <f t="shared" si="3"/>
        <v>2.9234264970905022</v>
      </c>
      <c r="D54">
        <f>3.03046*10^-3</f>
        <v>3.03046E-3</v>
      </c>
      <c r="E54">
        <f t="shared" si="1"/>
        <v>1.7154097395576837E-6</v>
      </c>
      <c r="F54">
        <f t="shared" si="2"/>
        <v>4.6165296680126455E-7</v>
      </c>
    </row>
    <row r="55" spans="1:6" x14ac:dyDescent="0.35">
      <c r="A55">
        <v>175</v>
      </c>
      <c r="B55">
        <f t="shared" si="0"/>
        <v>3.0543261909900763</v>
      </c>
      <c r="C55">
        <f t="shared" si="3"/>
        <v>3.0106929596902186</v>
      </c>
      <c r="D55">
        <f>3.09206*10^-3</f>
        <v>3.0920600000000002E-3</v>
      </c>
      <c r="E55">
        <f t="shared" si="1"/>
        <v>1.7502787825269867E-6</v>
      </c>
      <c r="F55">
        <f t="shared" si="2"/>
        <v>4.7103696221943808E-7</v>
      </c>
    </row>
    <row r="56" spans="1:6" x14ac:dyDescent="0.35">
      <c r="A56">
        <v>180</v>
      </c>
      <c r="B56">
        <f t="shared" si="0"/>
        <v>3.1415926535897931</v>
      </c>
      <c r="C56">
        <f t="shared" si="3"/>
        <v>3.0979594222899349</v>
      </c>
      <c r="D56">
        <f>3.15366*10^-3</f>
        <v>3.15366E-3</v>
      </c>
      <c r="E56">
        <f t="shared" si="1"/>
        <v>1.7851478254962893E-6</v>
      </c>
      <c r="F56">
        <f t="shared" si="2"/>
        <v>4.8042095763761145E-7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Manny Gimond</dc:creator>
  <cp:lastModifiedBy>Manny Gimond</cp:lastModifiedBy>
  <dcterms:created xsi:type="dcterms:W3CDTF">2025-12-16T21:14:45Z</dcterms:created>
  <dcterms:modified xsi:type="dcterms:W3CDTF">2025-12-16T21:45:17Z</dcterms:modified>
</cp:coreProperties>
</file>