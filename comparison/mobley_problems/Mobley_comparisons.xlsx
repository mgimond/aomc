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mgimond\aomc\comparison\mobley_problems\"/>
    </mc:Choice>
  </mc:AlternateContent>
  <xr:revisionPtr revIDLastSave="0" documentId="13_ncr:1_{DCE9D718-6F51-4862-A137-CAE73C831CA0}" xr6:coauthVersionLast="47" xr6:coauthVersionMax="47" xr10:uidLastSave="{00000000-0000-0000-0000-000000000000}"/>
  <bookViews>
    <workbookView xWindow="1275" yWindow="7200" windowWidth="23580" windowHeight="8235" xr2:uid="{3BE46ACD-53F2-4C9A-9617-386117E62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/>
  <c r="O6" i="1"/>
  <c r="N6" i="1"/>
  <c r="M6" i="1"/>
  <c r="O5" i="1"/>
  <c r="N5" i="1"/>
  <c r="M5" i="1"/>
  <c r="O4" i="1"/>
  <c r="N4" i="1"/>
  <c r="M4" i="1"/>
  <c r="O10" i="1"/>
  <c r="N10" i="1"/>
  <c r="M10" i="1"/>
  <c r="O9" i="1"/>
  <c r="N9" i="1"/>
  <c r="M9" i="1"/>
  <c r="O8" i="1"/>
  <c r="N8" i="1"/>
  <c r="M8" i="1"/>
  <c r="O15" i="1"/>
  <c r="N15" i="1"/>
  <c r="M15" i="1"/>
  <c r="O14" i="1"/>
  <c r="N14" i="1"/>
  <c r="M14" i="1"/>
  <c r="O13" i="1"/>
  <c r="N13" i="1"/>
  <c r="M13" i="1"/>
  <c r="N18" i="1"/>
  <c r="O18" i="1"/>
  <c r="N19" i="1"/>
  <c r="O19" i="1"/>
  <c r="M19" i="1"/>
  <c r="M18" i="1"/>
  <c r="O17" i="1"/>
  <c r="N17" i="1"/>
  <c r="M17" i="1"/>
  <c r="M26" i="1"/>
  <c r="N26" i="1"/>
  <c r="O26" i="1"/>
  <c r="N25" i="1"/>
  <c r="O25" i="1"/>
  <c r="M25" i="1"/>
  <c r="G26" i="1"/>
  <c r="G25" i="1"/>
  <c r="F26" i="1"/>
  <c r="F25" i="1"/>
  <c r="E26" i="1"/>
  <c r="G23" i="1"/>
  <c r="G22" i="1"/>
  <c r="G21" i="1"/>
  <c r="F23" i="1"/>
  <c r="F22" i="1"/>
  <c r="F21" i="1"/>
  <c r="E23" i="1"/>
  <c r="E22" i="1"/>
</calcChain>
</file>

<file path=xl/sharedStrings.xml><?xml version="1.0" encoding="utf-8"?>
<sst xmlns="http://schemas.openxmlformats.org/spreadsheetml/2006/main" count="26" uniqueCount="17">
  <si>
    <t>Mobley 1  s/(a+s) =0.2</t>
  </si>
  <si>
    <t>Mobley 1  s/(a+s) =0.9</t>
  </si>
  <si>
    <t>Ed</t>
  </si>
  <si>
    <t>Eou</t>
  </si>
  <si>
    <t>Lu</t>
  </si>
  <si>
    <t>Mobley</t>
  </si>
  <si>
    <t>Mobley 2  s/(a+s) =0.2</t>
  </si>
  <si>
    <t>Mobley 2  s/(a+s) =0.9</t>
  </si>
  <si>
    <t>Mobley s/mean (for about  7 models)</t>
  </si>
  <si>
    <t>5m</t>
  </si>
  <si>
    <t>25m</t>
  </si>
  <si>
    <t>60m</t>
  </si>
  <si>
    <t>Mobley 3</t>
  </si>
  <si>
    <t>Mobley 6</t>
  </si>
  <si>
    <t>AOMC</t>
  </si>
  <si>
    <t>AMC</t>
  </si>
  <si>
    <t>Relative difference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</si>
</sst>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5B62-72D9-4F0B-92B8-DCDE774A5D1B}">
  <dimension ref="A1:O26"/>
  <sheetViews>
    <sheetView tabSelected="1" workbookViewId="0">
      <pane ySplit="2" topLeftCell="A12" activePane="bottomLeft" state="frozen"/>
      <selection pane="bottomLeft" activeCell="D17" sqref="D17"/>
    </sheetView>
  </sheetViews>
  <sheetFormatPr defaultRowHeight="14.25"/>
  <cols>
    <col min="1" max="1" width="19.25" customWidth="1"/>
    <col min="3" max="3" width="9.875" bestFit="1" customWidth="1"/>
    <col min="4" max="4" width="11.5" customWidth="1"/>
    <col min="5" max="6" width="10.875" style="1" bestFit="1" customWidth="1"/>
    <col min="7" max="7" width="11.875" style="1" bestFit="1" customWidth="1"/>
    <col min="13" max="14" width="9.125" style="2" bestFit="1" customWidth="1"/>
    <col min="15" max="15" width="9.625" style="2" bestFit="1" customWidth="1"/>
  </cols>
  <sheetData>
    <row r="1" spans="1:15">
      <c r="B1" t="s">
        <v>14</v>
      </c>
      <c r="E1" s="1" t="s">
        <v>5</v>
      </c>
      <c r="I1" t="s">
        <v>8</v>
      </c>
      <c r="L1" t="s">
        <v>15</v>
      </c>
      <c r="M1" s="2" t="s">
        <v>16</v>
      </c>
    </row>
    <row r="2" spans="1:15">
      <c r="B2" t="s">
        <v>2</v>
      </c>
      <c r="C2" t="s">
        <v>3</v>
      </c>
      <c r="D2" t="s">
        <v>4</v>
      </c>
      <c r="E2" s="1" t="s">
        <v>2</v>
      </c>
      <c r="F2" s="1" t="s">
        <v>3</v>
      </c>
      <c r="G2" s="1" t="s">
        <v>4</v>
      </c>
      <c r="I2" t="s">
        <v>2</v>
      </c>
      <c r="J2" t="s">
        <v>3</v>
      </c>
      <c r="K2" t="s">
        <v>4</v>
      </c>
      <c r="M2" s="2" t="s">
        <v>2</v>
      </c>
      <c r="N2" s="2" t="s">
        <v>3</v>
      </c>
      <c r="O2" s="2" t="s">
        <v>4</v>
      </c>
    </row>
    <row r="3" spans="1:15">
      <c r="A3" t="s">
        <v>0</v>
      </c>
    </row>
    <row r="4" spans="1:15">
      <c r="A4">
        <v>0.8</v>
      </c>
      <c r="B4">
        <v>0.14152200000000001</v>
      </c>
      <c r="C4">
        <v>1.3285E-2</v>
      </c>
      <c r="D4">
        <v>1.7060000000000001E-3</v>
      </c>
      <c r="E4" s="1">
        <v>0.14099999999999999</v>
      </c>
      <c r="F4" s="1">
        <v>1.34E-2</v>
      </c>
      <c r="G4" s="1">
        <v>1.72E-3</v>
      </c>
      <c r="I4" s="2">
        <v>1E-3</v>
      </c>
      <c r="J4" s="2">
        <v>3.0000000000000001E-3</v>
      </c>
      <c r="K4" s="2">
        <v>4.3999999999999997E-2</v>
      </c>
      <c r="M4" s="2">
        <f>(E4-B4)/E4</f>
        <v>-3.7021276595746275E-3</v>
      </c>
      <c r="N4" s="2">
        <f t="shared" ref="N4:N6" si="0">(F4-C4)/F4</f>
        <v>8.5820895522388443E-3</v>
      </c>
      <c r="O4" s="2">
        <f t="shared" ref="O4:O6" si="1">(G4-D4)/G4</f>
        <v>8.1395348837208763E-3</v>
      </c>
    </row>
    <row r="5" spans="1:15">
      <c r="A5">
        <v>4</v>
      </c>
      <c r="B5">
        <v>1.07E-3</v>
      </c>
      <c r="C5">
        <v>9.7999999999999997E-5</v>
      </c>
      <c r="D5">
        <v>1.34E-5</v>
      </c>
      <c r="E5" s="1">
        <v>1.07E-3</v>
      </c>
      <c r="F5" s="1">
        <v>1E-4</v>
      </c>
      <c r="G5" s="1">
        <v>1.3699999999999999E-5</v>
      </c>
      <c r="I5" s="2">
        <v>5.0000000000000001E-3</v>
      </c>
      <c r="J5" s="2">
        <v>3.9E-2</v>
      </c>
      <c r="K5" s="2">
        <v>0.28799999999999998</v>
      </c>
      <c r="M5" s="2">
        <f>(E5-B5)/E5</f>
        <v>0</v>
      </c>
      <c r="N5" s="2">
        <f t="shared" si="0"/>
        <v>2.000000000000008E-2</v>
      </c>
      <c r="O5" s="2">
        <f t="shared" si="1"/>
        <v>2.1897810218978016E-2</v>
      </c>
    </row>
    <row r="6" spans="1:15">
      <c r="A6">
        <v>8</v>
      </c>
      <c r="B6">
        <v>3.0000000000000001E-6</v>
      </c>
      <c r="C6">
        <v>0</v>
      </c>
      <c r="D6">
        <v>0</v>
      </c>
      <c r="E6" s="1">
        <v>2.9299999999999999E-6</v>
      </c>
      <c r="F6" s="1">
        <v>2.9999999999999999E-7</v>
      </c>
      <c r="G6" s="1">
        <v>0</v>
      </c>
      <c r="I6" s="2">
        <v>0.10199999999999999</v>
      </c>
      <c r="J6" s="2">
        <v>0.308</v>
      </c>
      <c r="K6" s="2">
        <v>0.19700000000000001</v>
      </c>
      <c r="M6" s="2">
        <f>(E6-B6)/E6</f>
        <v>-2.3890784982935214E-2</v>
      </c>
      <c r="N6" s="2">
        <f t="shared" si="0"/>
        <v>1</v>
      </c>
      <c r="O6" s="2" t="e">
        <f t="shared" si="1"/>
        <v>#DIV/0!</v>
      </c>
    </row>
    <row r="7" spans="1:15">
      <c r="A7" t="s">
        <v>1</v>
      </c>
      <c r="I7" s="2"/>
      <c r="J7" s="2"/>
      <c r="K7" s="2"/>
    </row>
    <row r="8" spans="1:15">
      <c r="A8">
        <v>0.1</v>
      </c>
      <c r="B8">
        <v>0.36600500000000002</v>
      </c>
      <c r="C8">
        <v>0.37022699999999997</v>
      </c>
      <c r="D8">
        <v>4.8825E-2</v>
      </c>
      <c r="E8" s="1">
        <v>0.36599999999999999</v>
      </c>
      <c r="F8" s="1">
        <v>0.372</v>
      </c>
      <c r="G8" s="1">
        <v>4.8500000000000001E-2</v>
      </c>
      <c r="I8" s="2">
        <v>2E-3</v>
      </c>
      <c r="J8" s="2">
        <v>5.0000000000000001E-3</v>
      </c>
      <c r="K8" s="2">
        <v>1.4999999999999999E-2</v>
      </c>
      <c r="M8" s="2">
        <f>(E8-B8)/E8</f>
        <v>-1.3661202185881847E-5</v>
      </c>
      <c r="N8" s="2">
        <f t="shared" ref="N8:N10" si="2">(F8-C8)/F8</f>
        <v>4.7661290322581302E-3</v>
      </c>
      <c r="O8" s="2">
        <f t="shared" ref="O8:O10" si="3">(G8-D8)/G8</f>
        <v>-6.7010309278350286E-3</v>
      </c>
    </row>
    <row r="9" spans="1:15">
      <c r="A9">
        <v>0.5</v>
      </c>
      <c r="B9">
        <v>4.3282000000000001E-2</v>
      </c>
      <c r="C9">
        <v>4.3249999999999997E-2</v>
      </c>
      <c r="D9">
        <v>5.7650000000000002E-3</v>
      </c>
      <c r="E9" s="1">
        <v>4.3299999999999998E-2</v>
      </c>
      <c r="F9" s="1">
        <v>4.3499999999999997E-2</v>
      </c>
      <c r="G9" s="1">
        <v>5.5900000000000004E-3</v>
      </c>
      <c r="I9" s="2">
        <v>3.0000000000000001E-3</v>
      </c>
      <c r="J9" s="2">
        <v>7.0000000000000001E-3</v>
      </c>
      <c r="K9" s="2">
        <v>5.1999999999999998E-2</v>
      </c>
      <c r="M9" s="2">
        <f>(E9-B9)/E9</f>
        <v>4.1570438799069711E-4</v>
      </c>
      <c r="N9" s="2">
        <f t="shared" si="2"/>
        <v>5.7471264367816143E-3</v>
      </c>
      <c r="O9" s="2">
        <f t="shared" si="3"/>
        <v>-3.1305903398926617E-2</v>
      </c>
    </row>
    <row r="10" spans="1:15">
      <c r="A10">
        <v>1</v>
      </c>
      <c r="B10">
        <v>3.1419999999999998E-3</v>
      </c>
      <c r="C10">
        <v>3.1340000000000001E-3</v>
      </c>
      <c r="D10">
        <v>4.2499999999999998E-4</v>
      </c>
      <c r="E10" s="1">
        <v>3.16E-3</v>
      </c>
      <c r="F10" s="1">
        <v>3.2000000000000002E-3</v>
      </c>
      <c r="G10" s="1">
        <v>4.37E-4</v>
      </c>
      <c r="I10" s="2">
        <v>1.4999999999999999E-2</v>
      </c>
      <c r="J10" s="2">
        <v>3.7999999999999999E-2</v>
      </c>
      <c r="K10" s="2">
        <v>9.0999999999999998E-2</v>
      </c>
      <c r="M10" s="2">
        <f>(E10-B10)/E10</f>
        <v>5.696202531645639E-3</v>
      </c>
      <c r="N10" s="2">
        <f t="shared" si="2"/>
        <v>2.0625000000000025E-2</v>
      </c>
      <c r="O10" s="2">
        <f t="shared" si="3"/>
        <v>2.7459954233409658E-2</v>
      </c>
    </row>
    <row r="11" spans="1:15">
      <c r="I11" s="2"/>
      <c r="J11" s="2"/>
      <c r="K11" s="2"/>
    </row>
    <row r="12" spans="1:15">
      <c r="A12" t="s">
        <v>6</v>
      </c>
      <c r="I12" s="2"/>
      <c r="J12" s="2"/>
      <c r="K12" s="2"/>
    </row>
    <row r="13" spans="1:15">
      <c r="A13">
        <v>0.8</v>
      </c>
      <c r="B13">
        <v>0.161871985</v>
      </c>
      <c r="C13">
        <v>9.91949E-4</v>
      </c>
      <c r="D13">
        <v>5.2506000000000002E-5</v>
      </c>
      <c r="E13" s="1">
        <v>0.16200000000000001</v>
      </c>
      <c r="F13" s="1">
        <v>9.6599999999999995E-4</v>
      </c>
      <c r="G13" s="1">
        <v>5.4700000000000001E-5</v>
      </c>
      <c r="I13" s="2">
        <v>0</v>
      </c>
      <c r="J13" s="2">
        <v>2.3E-2</v>
      </c>
      <c r="K13" s="2">
        <v>0.06</v>
      </c>
      <c r="M13" s="2">
        <f>(E13-B13)/E13</f>
        <v>7.9021604938277212E-4</v>
      </c>
      <c r="N13" s="2">
        <f t="shared" ref="N13:N15" si="4">(F13-C13)/F13</f>
        <v>-2.6862318840579758E-2</v>
      </c>
      <c r="O13" s="2">
        <f t="shared" ref="O13:O15" si="5">(G13-D13)/G13</f>
        <v>4.0109689213893962E-2</v>
      </c>
    </row>
    <row r="14" spans="1:15">
      <c r="A14">
        <v>4</v>
      </c>
      <c r="B14">
        <v>2.2633530000000001E-3</v>
      </c>
      <c r="C14">
        <v>1.2683E-5</v>
      </c>
      <c r="D14">
        <v>7.37E-7</v>
      </c>
      <c r="E14" s="1">
        <v>2.2699999999999999E-3</v>
      </c>
      <c r="F14" s="1">
        <v>1.3699999999999999E-5</v>
      </c>
      <c r="G14" s="1">
        <v>6.2399999999999998E-7</v>
      </c>
      <c r="I14" s="2">
        <v>2E-3</v>
      </c>
      <c r="J14" s="2">
        <v>6.3E-2</v>
      </c>
      <c r="K14" s="2">
        <v>0.35499999999999998</v>
      </c>
      <c r="M14" s="2">
        <f>(E14-B14)/E14</f>
        <v>2.9281938325990383E-3</v>
      </c>
      <c r="N14" s="2">
        <f t="shared" si="4"/>
        <v>7.4233576642335694E-2</v>
      </c>
      <c r="O14" s="2">
        <f t="shared" si="5"/>
        <v>-0.18108974358974364</v>
      </c>
    </row>
    <row r="15" spans="1:15">
      <c r="A15">
        <v>8</v>
      </c>
      <c r="B15">
        <v>1.3200000000000001E-5</v>
      </c>
      <c r="C15">
        <v>8.0000000000000002E-8</v>
      </c>
      <c r="D15">
        <v>2E-8</v>
      </c>
      <c r="E15" s="1">
        <v>1.2999999999999999E-5</v>
      </c>
      <c r="F15" s="3">
        <v>7.2800000000000003E-8</v>
      </c>
      <c r="G15" s="1">
        <f>0.00000000402</f>
        <v>4.0199999999999998E-9</v>
      </c>
      <c r="I15" s="2">
        <v>4.7E-2</v>
      </c>
      <c r="J15" s="2">
        <v>0.187</v>
      </c>
      <c r="K15" s="2">
        <v>0.248</v>
      </c>
      <c r="M15" s="2">
        <f>(E15-B15)/E15</f>
        <v>-1.5384615384615498E-2</v>
      </c>
      <c r="N15" s="2">
        <f t="shared" si="4"/>
        <v>-9.8901098901098869E-2</v>
      </c>
      <c r="O15" s="2">
        <f t="shared" si="5"/>
        <v>-3.9751243781094532</v>
      </c>
    </row>
    <row r="16" spans="1:15">
      <c r="A16" t="s">
        <v>7</v>
      </c>
      <c r="I16" s="2"/>
      <c r="J16" s="2"/>
      <c r="K16" s="2"/>
    </row>
    <row r="17" spans="1:15">
      <c r="A17">
        <v>0.1</v>
      </c>
      <c r="B17">
        <v>0.4135972</v>
      </c>
      <c r="C17">
        <v>9.0251239999999996E-2</v>
      </c>
      <c r="D17">
        <v>7.8971800000000002E-3</v>
      </c>
      <c r="E17" s="1">
        <v>0.41299999999999998</v>
      </c>
      <c r="F17" s="1">
        <v>9.3100000000000002E-2</v>
      </c>
      <c r="G17" s="1">
        <v>6.9899999999999997E-3</v>
      </c>
      <c r="I17" s="2">
        <v>1E-3</v>
      </c>
      <c r="J17" s="2">
        <v>2.1000000000000001E-2</v>
      </c>
      <c r="K17" s="2">
        <v>6.3E-2</v>
      </c>
      <c r="M17" s="2">
        <f>(E17-B17)/E17</f>
        <v>-1.4460048426150605E-3</v>
      </c>
      <c r="N17" s="2">
        <f t="shared" ref="N17:N19" si="6">(F17-C17)/F17</f>
        <v>3.0598925886143991E-2</v>
      </c>
      <c r="O17" s="2">
        <f t="shared" ref="O17:O19" si="7">(G17-D17)/G17</f>
        <v>-0.12978254649499293</v>
      </c>
    </row>
    <row r="18" spans="1:15">
      <c r="A18">
        <v>0.5</v>
      </c>
      <c r="B18">
        <v>0.183851182</v>
      </c>
      <c r="C18">
        <v>4.7438267999999999E-2</v>
      </c>
      <c r="D18">
        <v>3.3217899999999998E-3</v>
      </c>
      <c r="E18" s="1">
        <v>0.187</v>
      </c>
      <c r="F18" s="1">
        <v>4.6300000000000001E-2</v>
      </c>
      <c r="G18" s="1">
        <v>3.29E-3</v>
      </c>
      <c r="I18" s="2">
        <v>5.0000000000000001E-3</v>
      </c>
      <c r="J18" s="2">
        <v>1.7000000000000001E-2</v>
      </c>
      <c r="K18" s="2">
        <v>5.5E-2</v>
      </c>
      <c r="M18" s="2">
        <f>(E18-B18)/E18</f>
        <v>1.6838598930481272E-2</v>
      </c>
      <c r="N18" s="2">
        <f t="shared" si="6"/>
        <v>-2.4584622030237535E-2</v>
      </c>
      <c r="O18" s="2">
        <f t="shared" si="7"/>
        <v>-9.6626139817628746E-3</v>
      </c>
    </row>
    <row r="19" spans="1:15">
      <c r="A19">
        <v>1</v>
      </c>
      <c r="B19">
        <v>6.6183403000000002E-2</v>
      </c>
      <c r="C19">
        <v>1.6484321999999999E-2</v>
      </c>
      <c r="D19">
        <v>1.1833119999999999E-3</v>
      </c>
      <c r="E19" s="1">
        <v>6.8500000000000005E-2</v>
      </c>
      <c r="F19" s="1">
        <v>1.6500000000000001E-2</v>
      </c>
      <c r="G19" s="1">
        <v>1.2099999999999999E-3</v>
      </c>
      <c r="I19" s="2">
        <v>0.01</v>
      </c>
      <c r="J19" s="2">
        <v>1.4E-2</v>
      </c>
      <c r="K19" s="2">
        <v>0.109</v>
      </c>
      <c r="M19" s="2">
        <f>(E19-B19)/E19</f>
        <v>3.381893430656939E-2</v>
      </c>
      <c r="N19" s="2">
        <f t="shared" si="6"/>
        <v>9.5018181818191559E-4</v>
      </c>
      <c r="O19" s="2">
        <f t="shared" si="7"/>
        <v>2.2056198347107415E-2</v>
      </c>
    </row>
    <row r="20" spans="1:15">
      <c r="A20" t="s">
        <v>12</v>
      </c>
      <c r="I20" s="2"/>
      <c r="J20" s="2"/>
      <c r="K20" s="2"/>
    </row>
    <row r="21" spans="1:15">
      <c r="A21" t="s">
        <v>9</v>
      </c>
      <c r="E21" s="1">
        <v>0.23</v>
      </c>
      <c r="F21" s="1">
        <f>4.34*10^-2</f>
        <v>4.3400000000000001E-2</v>
      </c>
      <c r="G21" s="1">
        <f>3.13*10^-3</f>
        <v>3.13E-3</v>
      </c>
      <c r="I21" s="2">
        <v>6.0000000000000001E-3</v>
      </c>
      <c r="J21" s="2">
        <v>2.5000000000000001E-2</v>
      </c>
      <c r="K21" s="2">
        <v>5.3999999999999999E-2</v>
      </c>
    </row>
    <row r="22" spans="1:15">
      <c r="A22" t="s">
        <v>10</v>
      </c>
      <c r="E22" s="1">
        <f>1.62 * 10^-3</f>
        <v>1.6200000000000001E-3</v>
      </c>
      <c r="F22" s="1">
        <f>2.86*10^-4</f>
        <v>2.8600000000000001E-4</v>
      </c>
      <c r="G22" s="1">
        <f>2.12*10^-5</f>
        <v>2.1200000000000004E-5</v>
      </c>
      <c r="I22" s="2">
        <v>2.8000000000000001E-2</v>
      </c>
      <c r="J22" s="2">
        <v>3.7999999999999999E-2</v>
      </c>
      <c r="K22" s="2">
        <v>6.0999999999999999E-2</v>
      </c>
    </row>
    <row r="23" spans="1:15">
      <c r="A23" t="s">
        <v>11</v>
      </c>
      <c r="E23" s="1">
        <f>5.23*10^-5</f>
        <v>5.2300000000000011E-5</v>
      </c>
      <c r="F23" s="1">
        <f>5.13*10^-6</f>
        <v>5.13E-6</v>
      </c>
      <c r="G23" s="1">
        <f>3.57*10^-7</f>
        <v>3.5699999999999998E-7</v>
      </c>
      <c r="I23" s="2">
        <v>7.0999999999999994E-2</v>
      </c>
      <c r="J23" s="2">
        <v>3.5999999999999997E-2</v>
      </c>
      <c r="K23" s="2">
        <v>0.434</v>
      </c>
    </row>
    <row r="24" spans="1:15">
      <c r="A24" t="s">
        <v>13</v>
      </c>
      <c r="I24" s="2"/>
      <c r="J24" s="2"/>
      <c r="K24" s="2"/>
    </row>
    <row r="25" spans="1:15">
      <c r="A25">
        <v>0.8</v>
      </c>
      <c r="B25">
        <v>0.16184699999999999</v>
      </c>
      <c r="C25">
        <v>1.0089999999999999E-3</v>
      </c>
      <c r="D25">
        <v>6.8999999999999997E-5</v>
      </c>
      <c r="E25" s="1">
        <v>0.16200000000000001</v>
      </c>
      <c r="F25" s="1">
        <f>9.811*10^-4</f>
        <v>9.8109999999999994E-4</v>
      </c>
      <c r="G25" s="1">
        <f>6.84*10^-5</f>
        <v>6.8400000000000009E-5</v>
      </c>
      <c r="I25" s="2">
        <v>0</v>
      </c>
      <c r="J25" s="2">
        <v>0.01</v>
      </c>
      <c r="K25" s="2">
        <v>0.02</v>
      </c>
      <c r="M25" s="2">
        <f>(E25-B25)/E25</f>
        <v>9.444444444445323E-4</v>
      </c>
      <c r="N25" s="2">
        <f t="shared" ref="N25:O25" si="8">(F25-C25)/F25</f>
        <v>-2.8437468147997122E-2</v>
      </c>
      <c r="O25" s="2">
        <f t="shared" si="8"/>
        <v>-8.7719298245612191E-3</v>
      </c>
    </row>
    <row r="26" spans="1:15">
      <c r="A26">
        <v>4</v>
      </c>
      <c r="B26">
        <v>2.2669999999999999E-3</v>
      </c>
      <c r="C26">
        <v>2.2669999999999999E-3</v>
      </c>
      <c r="D26">
        <v>3.6099999999999999E-4</v>
      </c>
      <c r="E26" s="1">
        <f>2.28*10^-3</f>
        <v>2.2799999999999999E-3</v>
      </c>
      <c r="F26" s="1">
        <f>2.28*10^-3</f>
        <v>2.2799999999999999E-3</v>
      </c>
      <c r="G26" s="1">
        <f>3.6*10^-4</f>
        <v>3.6000000000000002E-4</v>
      </c>
      <c r="I26" s="2">
        <v>3.0000000000000001E-3</v>
      </c>
      <c r="J26" s="2">
        <v>2E-3</v>
      </c>
      <c r="K26" s="2">
        <v>0.01</v>
      </c>
      <c r="M26" s="2">
        <f>(E26-B26)/E26</f>
        <v>5.7017543859649083E-3</v>
      </c>
      <c r="N26" s="2">
        <f t="shared" ref="N26" si="9">(F26-C26)/F26</f>
        <v>5.7017543859649083E-3</v>
      </c>
      <c r="O26" s="2">
        <f t="shared" ref="O26" si="10">(G26-D26)/G26</f>
        <v>-2.7777777777776946E-3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Gimond</dc:creator>
  <cp:lastModifiedBy>Manny Gimond</cp:lastModifiedBy>
  <dcterms:created xsi:type="dcterms:W3CDTF">2025-12-06T20:51:19Z</dcterms:created>
  <dcterms:modified xsi:type="dcterms:W3CDTF">2025-12-19T20:51:21Z</dcterms:modified>
</cp:coreProperties>
</file>