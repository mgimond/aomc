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mgimond\aomc\comparison\mobley_problems\"/>
    </mc:Choice>
  </mc:AlternateContent>
  <xr:revisionPtr revIDLastSave="0" documentId="13_ncr:1_{3EF08A4A-D9B0-474D-B75F-ED3B4C76A231}" xr6:coauthVersionLast="47" xr6:coauthVersionMax="47" xr10:uidLastSave="{00000000-0000-0000-0000-000000000000}"/>
  <bookViews>
    <workbookView xWindow="3050" yWindow="1790" windowWidth="19380" windowHeight="17350" xr2:uid="{3D0D7E79-15B4-437A-8BB4-F2872EAC8ABA}"/>
  </bookViews>
  <sheets>
    <sheet name="problem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95" i="1" l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Z374" i="1"/>
  <c r="Z373" i="1"/>
  <c r="Z372" i="1"/>
  <c r="Z371" i="1"/>
  <c r="Z370" i="1"/>
  <c r="Z369" i="1"/>
  <c r="Z368" i="1"/>
  <c r="Z367" i="1"/>
  <c r="Z366" i="1"/>
  <c r="Z365" i="1"/>
  <c r="Z364" i="1"/>
  <c r="Z363" i="1"/>
  <c r="Z362" i="1"/>
  <c r="Z361" i="1"/>
  <c r="Z360" i="1"/>
  <c r="Z359" i="1"/>
  <c r="Z358" i="1"/>
  <c r="Z357" i="1"/>
  <c r="AU374" i="1"/>
  <c r="AT374" i="1"/>
  <c r="AU373" i="1"/>
  <c r="AT373" i="1"/>
  <c r="AU372" i="1"/>
  <c r="AT372" i="1"/>
  <c r="AU371" i="1"/>
  <c r="AT371" i="1"/>
  <c r="AU370" i="1"/>
  <c r="AT370" i="1"/>
  <c r="AU369" i="1"/>
  <c r="AT369" i="1"/>
  <c r="AU368" i="1"/>
  <c r="AT368" i="1"/>
  <c r="AU367" i="1"/>
  <c r="AT367" i="1"/>
  <c r="AU366" i="1"/>
  <c r="AT366" i="1"/>
  <c r="AU365" i="1"/>
  <c r="AT365" i="1"/>
  <c r="AU364" i="1"/>
  <c r="AT364" i="1"/>
  <c r="AU363" i="1"/>
  <c r="AT363" i="1"/>
  <c r="AU362" i="1"/>
  <c r="AT362" i="1"/>
  <c r="AU361" i="1"/>
  <c r="AT361" i="1"/>
  <c r="AU360" i="1"/>
  <c r="AT360" i="1"/>
  <c r="AU359" i="1"/>
  <c r="AT359" i="1"/>
  <c r="AU358" i="1"/>
  <c r="AT358" i="1"/>
  <c r="AU357" i="1"/>
  <c r="AT357" i="1"/>
  <c r="Q374" i="1"/>
  <c r="Q373" i="1"/>
  <c r="Q372" i="1"/>
  <c r="Q371" i="1"/>
  <c r="Q370" i="1"/>
  <c r="Q369" i="1"/>
  <c r="Q368" i="1"/>
  <c r="Q367" i="1"/>
  <c r="Q366" i="1"/>
  <c r="Q365" i="1"/>
  <c r="Q364" i="1"/>
  <c r="Q363" i="1"/>
  <c r="Q362" i="1"/>
  <c r="Q361" i="1"/>
  <c r="Q360" i="1"/>
  <c r="Q359" i="1"/>
  <c r="Q358" i="1"/>
  <c r="Q357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AU353" i="1"/>
  <c r="AT353" i="1"/>
  <c r="AU352" i="1"/>
  <c r="AT352" i="1"/>
  <c r="AU351" i="1"/>
  <c r="AT351" i="1"/>
  <c r="AU350" i="1"/>
  <c r="AT350" i="1"/>
  <c r="AU349" i="1"/>
  <c r="AT349" i="1"/>
  <c r="AU348" i="1"/>
  <c r="AT348" i="1"/>
  <c r="AU347" i="1"/>
  <c r="AT347" i="1"/>
  <c r="AU346" i="1"/>
  <c r="AT346" i="1"/>
  <c r="AU345" i="1"/>
  <c r="AT345" i="1"/>
  <c r="AU344" i="1"/>
  <c r="AT344" i="1"/>
  <c r="AU343" i="1"/>
  <c r="AT343" i="1"/>
  <c r="AU342" i="1"/>
  <c r="AT342" i="1"/>
  <c r="AU341" i="1"/>
  <c r="AT341" i="1"/>
  <c r="AU340" i="1"/>
  <c r="AT340" i="1"/>
  <c r="AU339" i="1"/>
  <c r="AT339" i="1"/>
  <c r="AU338" i="1"/>
  <c r="AT338" i="1"/>
  <c r="AU337" i="1"/>
  <c r="AT337" i="1"/>
  <c r="AU336" i="1"/>
  <c r="AT336" i="1"/>
  <c r="AI353" i="1"/>
  <c r="AI352" i="1"/>
  <c r="AI351" i="1"/>
  <c r="AI350" i="1"/>
  <c r="AI349" i="1"/>
  <c r="AI348" i="1"/>
  <c r="AI347" i="1"/>
  <c r="AI346" i="1"/>
  <c r="AI345" i="1"/>
  <c r="AI344" i="1"/>
  <c r="AI343" i="1"/>
  <c r="AI342" i="1"/>
  <c r="AI341" i="1"/>
  <c r="AI340" i="1"/>
  <c r="AI339" i="1"/>
  <c r="AI338" i="1"/>
  <c r="AI337" i="1"/>
  <c r="AI336" i="1"/>
  <c r="Z353" i="1"/>
  <c r="Z352" i="1"/>
  <c r="Z351" i="1"/>
  <c r="Z350" i="1"/>
  <c r="Z349" i="1"/>
  <c r="Z348" i="1"/>
  <c r="Z347" i="1"/>
  <c r="Z346" i="1"/>
  <c r="Z345" i="1"/>
  <c r="Z344" i="1"/>
  <c r="Z343" i="1"/>
  <c r="Z342" i="1"/>
  <c r="Z341" i="1"/>
  <c r="Z340" i="1"/>
  <c r="Z339" i="1"/>
  <c r="Z338" i="1"/>
  <c r="Z337" i="1"/>
  <c r="Z336" i="1"/>
  <c r="Q353" i="1"/>
  <c r="Q352" i="1"/>
  <c r="Q351" i="1"/>
  <c r="Q350" i="1"/>
  <c r="Q349" i="1"/>
  <c r="Q348" i="1"/>
  <c r="Q347" i="1"/>
  <c r="Q346" i="1"/>
  <c r="Q345" i="1"/>
  <c r="Q344" i="1"/>
  <c r="Q343" i="1"/>
  <c r="Q342" i="1"/>
  <c r="Q341" i="1"/>
  <c r="Q340" i="1"/>
  <c r="Q339" i="1"/>
  <c r="Q338" i="1"/>
  <c r="Q337" i="1"/>
  <c r="Q336" i="1"/>
  <c r="AU332" i="1"/>
  <c r="AT332" i="1"/>
  <c r="AU331" i="1"/>
  <c r="AT331" i="1"/>
  <c r="AU330" i="1"/>
  <c r="AT330" i="1"/>
  <c r="AU329" i="1"/>
  <c r="AT329" i="1"/>
  <c r="AU328" i="1"/>
  <c r="AT328" i="1"/>
  <c r="AU327" i="1"/>
  <c r="AT327" i="1"/>
  <c r="AU326" i="1"/>
  <c r="AT326" i="1"/>
  <c r="AU325" i="1"/>
  <c r="AT325" i="1"/>
  <c r="AU324" i="1"/>
  <c r="AT324" i="1"/>
  <c r="AU323" i="1"/>
  <c r="AT323" i="1"/>
  <c r="AU322" i="1"/>
  <c r="AT322" i="1"/>
  <c r="AU321" i="1"/>
  <c r="AT321" i="1"/>
  <c r="AU320" i="1"/>
  <c r="AT320" i="1"/>
  <c r="AU319" i="1"/>
  <c r="AT319" i="1"/>
  <c r="AU318" i="1"/>
  <c r="AT318" i="1"/>
  <c r="AU317" i="1"/>
  <c r="AT317" i="1"/>
  <c r="AU316" i="1"/>
  <c r="AT316" i="1"/>
  <c r="AU315" i="1"/>
  <c r="AT315" i="1"/>
  <c r="Q332" i="1"/>
  <c r="Q331" i="1"/>
  <c r="Q330" i="1"/>
  <c r="Q329" i="1"/>
  <c r="Q328" i="1"/>
  <c r="Q327" i="1"/>
  <c r="Q326" i="1"/>
  <c r="Q325" i="1"/>
  <c r="Q324" i="1"/>
  <c r="Q323" i="1"/>
  <c r="Q322" i="1"/>
  <c r="Q321" i="1"/>
  <c r="Q320" i="1"/>
  <c r="Q319" i="1"/>
  <c r="Q318" i="1"/>
  <c r="Q317" i="1"/>
  <c r="Q316" i="1"/>
  <c r="Q315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AU311" i="1"/>
  <c r="AT311" i="1"/>
  <c r="AU310" i="1"/>
  <c r="AT310" i="1"/>
  <c r="AU309" i="1"/>
  <c r="AT309" i="1"/>
  <c r="AU308" i="1"/>
  <c r="AT308" i="1"/>
  <c r="AU307" i="1"/>
  <c r="AT307" i="1"/>
  <c r="AU306" i="1"/>
  <c r="AT306" i="1"/>
  <c r="AU305" i="1"/>
  <c r="AT305" i="1"/>
  <c r="AU304" i="1"/>
  <c r="AT304" i="1"/>
  <c r="AU303" i="1"/>
  <c r="AT303" i="1"/>
  <c r="AU302" i="1"/>
  <c r="AT302" i="1"/>
  <c r="AU301" i="1"/>
  <c r="AT301" i="1"/>
  <c r="AU300" i="1"/>
  <c r="AT300" i="1"/>
  <c r="AU299" i="1"/>
  <c r="AT299" i="1"/>
  <c r="AU298" i="1"/>
  <c r="AT298" i="1"/>
  <c r="AU297" i="1"/>
  <c r="AT297" i="1"/>
  <c r="AU296" i="1"/>
  <c r="AT296" i="1"/>
  <c r="AU295" i="1"/>
  <c r="AT295" i="1"/>
  <c r="AU294" i="1"/>
  <c r="AT294" i="1"/>
  <c r="Z311" i="1"/>
  <c r="Z310" i="1"/>
  <c r="Z309" i="1"/>
  <c r="Z308" i="1"/>
  <c r="Z307" i="1"/>
  <c r="Z306" i="1"/>
  <c r="Z305" i="1"/>
  <c r="Z304" i="1"/>
  <c r="Z303" i="1"/>
  <c r="Z302" i="1"/>
  <c r="Z301" i="1"/>
  <c r="Z300" i="1"/>
  <c r="Z299" i="1"/>
  <c r="Z298" i="1"/>
  <c r="Z297" i="1"/>
  <c r="Z296" i="1"/>
  <c r="Z295" i="1"/>
  <c r="Z294" i="1"/>
  <c r="Q311" i="1"/>
  <c r="Q310" i="1"/>
  <c r="Q309" i="1"/>
  <c r="Q308" i="1"/>
  <c r="Q307" i="1"/>
  <c r="Q306" i="1"/>
  <c r="Q305" i="1"/>
  <c r="Q304" i="1"/>
  <c r="Q303" i="1"/>
  <c r="Q302" i="1"/>
  <c r="Q301" i="1"/>
  <c r="Q300" i="1"/>
  <c r="Q299" i="1"/>
  <c r="Q298" i="1"/>
  <c r="Q297" i="1"/>
  <c r="Q296" i="1"/>
  <c r="Q295" i="1"/>
  <c r="Q294" i="1"/>
  <c r="AU101" i="1"/>
  <c r="AT101" i="1"/>
  <c r="AU100" i="1"/>
  <c r="AT100" i="1"/>
  <c r="AU99" i="1"/>
  <c r="AT99" i="1"/>
  <c r="AU98" i="1"/>
  <c r="AT98" i="1"/>
  <c r="AU97" i="1"/>
  <c r="AT97" i="1"/>
  <c r="AU96" i="1"/>
  <c r="AT96" i="1"/>
  <c r="AU95" i="1"/>
  <c r="AT95" i="1"/>
  <c r="AU94" i="1"/>
  <c r="AT94" i="1"/>
  <c r="AU93" i="1"/>
  <c r="AT93" i="1"/>
  <c r="AU92" i="1"/>
  <c r="AT92" i="1"/>
  <c r="AU91" i="1"/>
  <c r="AT91" i="1"/>
  <c r="AU90" i="1"/>
  <c r="AT90" i="1"/>
  <c r="AU89" i="1"/>
  <c r="AT89" i="1"/>
  <c r="AU88" i="1"/>
  <c r="AT88" i="1"/>
  <c r="AU87" i="1"/>
  <c r="AT87" i="1"/>
  <c r="AU86" i="1"/>
  <c r="AT86" i="1"/>
  <c r="AU85" i="1"/>
  <c r="AT85" i="1"/>
  <c r="AU84" i="1"/>
  <c r="AT84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AU290" i="1"/>
  <c r="AT290" i="1"/>
  <c r="AU289" i="1"/>
  <c r="AT289" i="1"/>
  <c r="AU288" i="1"/>
  <c r="AT288" i="1"/>
  <c r="AU287" i="1"/>
  <c r="AT287" i="1"/>
  <c r="AU286" i="1"/>
  <c r="AT286" i="1"/>
  <c r="AU285" i="1"/>
  <c r="AT285" i="1"/>
  <c r="AU284" i="1"/>
  <c r="AT284" i="1"/>
  <c r="AU283" i="1"/>
  <c r="AT283" i="1"/>
  <c r="AU282" i="1"/>
  <c r="AT282" i="1"/>
  <c r="AU281" i="1"/>
  <c r="AT281" i="1"/>
  <c r="AU280" i="1"/>
  <c r="AT280" i="1"/>
  <c r="AU279" i="1"/>
  <c r="AT279" i="1"/>
  <c r="AU278" i="1"/>
  <c r="AT278" i="1"/>
  <c r="AU277" i="1"/>
  <c r="AT277" i="1"/>
  <c r="AU276" i="1"/>
  <c r="AT276" i="1"/>
  <c r="AU275" i="1"/>
  <c r="AT275" i="1"/>
  <c r="AU274" i="1"/>
  <c r="AT274" i="1"/>
  <c r="AU273" i="1"/>
  <c r="AT273" i="1"/>
  <c r="AR290" i="1"/>
  <c r="AR289" i="1"/>
  <c r="AR288" i="1"/>
  <c r="AR287" i="1"/>
  <c r="AR286" i="1"/>
  <c r="AR285" i="1"/>
  <c r="AR284" i="1"/>
  <c r="AR283" i="1"/>
  <c r="AR282" i="1"/>
  <c r="AR281" i="1"/>
  <c r="AR280" i="1"/>
  <c r="AR279" i="1"/>
  <c r="AR278" i="1"/>
  <c r="AR277" i="1"/>
  <c r="AR276" i="1"/>
  <c r="AR275" i="1"/>
  <c r="AR274" i="1"/>
  <c r="AR273" i="1"/>
  <c r="AI290" i="1"/>
  <c r="AI289" i="1"/>
  <c r="AI288" i="1"/>
  <c r="AI287" i="1"/>
  <c r="AI286" i="1"/>
  <c r="AI285" i="1"/>
  <c r="AI284" i="1"/>
  <c r="AI283" i="1"/>
  <c r="AI282" i="1"/>
  <c r="AI281" i="1"/>
  <c r="AI280" i="1"/>
  <c r="AI279" i="1"/>
  <c r="AI278" i="1"/>
  <c r="AI277" i="1"/>
  <c r="AI276" i="1"/>
  <c r="AI275" i="1"/>
  <c r="AI274" i="1"/>
  <c r="AI273" i="1"/>
  <c r="Z290" i="1"/>
  <c r="Z289" i="1"/>
  <c r="Z288" i="1"/>
  <c r="Z287" i="1"/>
  <c r="Z286" i="1"/>
  <c r="Z285" i="1"/>
  <c r="Z284" i="1"/>
  <c r="Z283" i="1"/>
  <c r="Z282" i="1"/>
  <c r="Z281" i="1"/>
  <c r="Z280" i="1"/>
  <c r="Z279" i="1"/>
  <c r="Z278" i="1"/>
  <c r="Z277" i="1"/>
  <c r="Z276" i="1"/>
  <c r="Z275" i="1"/>
  <c r="Z274" i="1"/>
  <c r="Z273" i="1"/>
  <c r="Q290" i="1"/>
  <c r="Q289" i="1"/>
  <c r="Q288" i="1"/>
  <c r="Q287" i="1"/>
  <c r="Q286" i="1"/>
  <c r="Q285" i="1"/>
  <c r="Q284" i="1"/>
  <c r="Q283" i="1"/>
  <c r="Q282" i="1"/>
  <c r="Q281" i="1"/>
  <c r="Q280" i="1"/>
  <c r="Q279" i="1"/>
  <c r="Q278" i="1"/>
  <c r="Q277" i="1"/>
  <c r="Q276" i="1"/>
  <c r="Q275" i="1"/>
  <c r="Q274" i="1"/>
  <c r="Q273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AU269" i="1"/>
  <c r="AT269" i="1"/>
  <c r="AU268" i="1"/>
  <c r="AT268" i="1"/>
  <c r="AU267" i="1"/>
  <c r="AT267" i="1"/>
  <c r="AU266" i="1"/>
  <c r="AT266" i="1"/>
  <c r="AU265" i="1"/>
  <c r="AT265" i="1"/>
  <c r="AU264" i="1"/>
  <c r="AT264" i="1"/>
  <c r="AU263" i="1"/>
  <c r="AT263" i="1"/>
  <c r="AU262" i="1"/>
  <c r="AT262" i="1"/>
  <c r="AU261" i="1"/>
  <c r="AT261" i="1"/>
  <c r="AU260" i="1"/>
  <c r="AT260" i="1"/>
  <c r="AU259" i="1"/>
  <c r="AT259" i="1"/>
  <c r="AU258" i="1"/>
  <c r="AT258" i="1"/>
  <c r="AU257" i="1"/>
  <c r="AT257" i="1"/>
  <c r="AU256" i="1"/>
  <c r="AT256" i="1"/>
  <c r="AU255" i="1"/>
  <c r="AT255" i="1"/>
  <c r="AU254" i="1"/>
  <c r="AT254" i="1"/>
  <c r="AU253" i="1"/>
  <c r="AT253" i="1"/>
  <c r="AU252" i="1"/>
  <c r="AT252" i="1"/>
  <c r="AI269" i="1"/>
  <c r="AI268" i="1"/>
  <c r="AI267" i="1"/>
  <c r="AI266" i="1"/>
  <c r="AI265" i="1"/>
  <c r="AI264" i="1"/>
  <c r="AI263" i="1"/>
  <c r="AI262" i="1"/>
  <c r="AI261" i="1"/>
  <c r="AI260" i="1"/>
  <c r="AI259" i="1"/>
  <c r="AI258" i="1"/>
  <c r="AI257" i="1"/>
  <c r="AI256" i="1"/>
  <c r="AI255" i="1"/>
  <c r="AI254" i="1"/>
  <c r="AI253" i="1"/>
  <c r="AI252" i="1"/>
  <c r="Z269" i="1"/>
  <c r="Z268" i="1"/>
  <c r="Z267" i="1"/>
  <c r="Z266" i="1"/>
  <c r="Z265" i="1"/>
  <c r="Z264" i="1"/>
  <c r="Z263" i="1"/>
  <c r="Z262" i="1"/>
  <c r="Z261" i="1"/>
  <c r="Z260" i="1"/>
  <c r="Z259" i="1"/>
  <c r="Z258" i="1"/>
  <c r="Z257" i="1"/>
  <c r="Z256" i="1"/>
  <c r="Z255" i="1"/>
  <c r="Z254" i="1"/>
  <c r="Z253" i="1"/>
  <c r="Z252" i="1"/>
  <c r="Q269" i="1"/>
  <c r="Q268" i="1"/>
  <c r="Q267" i="1"/>
  <c r="Q266" i="1"/>
  <c r="Q265" i="1"/>
  <c r="Q264" i="1"/>
  <c r="Q263" i="1"/>
  <c r="Q262" i="1"/>
  <c r="Q261" i="1"/>
  <c r="Q260" i="1"/>
  <c r="Q259" i="1"/>
  <c r="Q258" i="1"/>
  <c r="Q257" i="1"/>
  <c r="Q256" i="1"/>
  <c r="Q255" i="1"/>
  <c r="Q254" i="1"/>
  <c r="Q253" i="1"/>
  <c r="Q252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AU248" i="1"/>
  <c r="AT248" i="1"/>
  <c r="AU247" i="1"/>
  <c r="AT247" i="1"/>
  <c r="AU246" i="1"/>
  <c r="AT246" i="1"/>
  <c r="AU245" i="1"/>
  <c r="AT245" i="1"/>
  <c r="AU244" i="1"/>
  <c r="AT244" i="1"/>
  <c r="AU243" i="1"/>
  <c r="AT243" i="1"/>
  <c r="AU242" i="1"/>
  <c r="AT242" i="1"/>
  <c r="AU241" i="1"/>
  <c r="AT241" i="1"/>
  <c r="AU240" i="1"/>
  <c r="AT240" i="1"/>
  <c r="AU239" i="1"/>
  <c r="AT239" i="1"/>
  <c r="AU238" i="1"/>
  <c r="AT238" i="1"/>
  <c r="AU237" i="1"/>
  <c r="AT237" i="1"/>
  <c r="AU236" i="1"/>
  <c r="AT236" i="1"/>
  <c r="AU235" i="1"/>
  <c r="AT235" i="1"/>
  <c r="AU234" i="1"/>
  <c r="AT234" i="1"/>
  <c r="AU233" i="1"/>
  <c r="AT233" i="1"/>
  <c r="AU232" i="1"/>
  <c r="AT232" i="1"/>
  <c r="AU231" i="1"/>
  <c r="AT231" i="1"/>
  <c r="AU227" i="1"/>
  <c r="AT227" i="1"/>
  <c r="AU226" i="1"/>
  <c r="AT226" i="1"/>
  <c r="AU225" i="1"/>
  <c r="AT225" i="1"/>
  <c r="AU224" i="1"/>
  <c r="AT224" i="1"/>
  <c r="AU223" i="1"/>
  <c r="AT223" i="1"/>
  <c r="AU222" i="1"/>
  <c r="AT222" i="1"/>
  <c r="AU221" i="1"/>
  <c r="AT221" i="1"/>
  <c r="AU220" i="1"/>
  <c r="AT220" i="1"/>
  <c r="AU219" i="1"/>
  <c r="AT219" i="1"/>
  <c r="AU218" i="1"/>
  <c r="AT218" i="1"/>
  <c r="AU217" i="1"/>
  <c r="AT217" i="1"/>
  <c r="AU216" i="1"/>
  <c r="AT216" i="1"/>
  <c r="AU215" i="1"/>
  <c r="AT215" i="1"/>
  <c r="AU214" i="1"/>
  <c r="AT214" i="1"/>
  <c r="AU213" i="1"/>
  <c r="AT213" i="1"/>
  <c r="AU212" i="1"/>
  <c r="AT212" i="1"/>
  <c r="AU211" i="1"/>
  <c r="AT211" i="1"/>
  <c r="AU210" i="1"/>
  <c r="AT210" i="1"/>
  <c r="AU206" i="1"/>
  <c r="AT206" i="1"/>
  <c r="AU205" i="1"/>
  <c r="AT205" i="1"/>
  <c r="AU204" i="1"/>
  <c r="AT204" i="1"/>
  <c r="AU203" i="1"/>
  <c r="AT203" i="1"/>
  <c r="AU202" i="1"/>
  <c r="AT202" i="1"/>
  <c r="AU201" i="1"/>
  <c r="AT201" i="1"/>
  <c r="AU200" i="1"/>
  <c r="AT200" i="1"/>
  <c r="AU199" i="1"/>
  <c r="AT199" i="1"/>
  <c r="AU198" i="1"/>
  <c r="AT198" i="1"/>
  <c r="AU197" i="1"/>
  <c r="AT197" i="1"/>
  <c r="AU196" i="1"/>
  <c r="AT196" i="1"/>
  <c r="AU195" i="1"/>
  <c r="AT195" i="1"/>
  <c r="AU194" i="1"/>
  <c r="AT194" i="1"/>
  <c r="AU193" i="1"/>
  <c r="AT193" i="1"/>
  <c r="AU192" i="1"/>
  <c r="AT192" i="1"/>
  <c r="AU191" i="1"/>
  <c r="AT191" i="1"/>
  <c r="AU190" i="1"/>
  <c r="AT190" i="1"/>
  <c r="AU189" i="1"/>
  <c r="AT189" i="1"/>
  <c r="AU184" i="1"/>
  <c r="AT184" i="1"/>
  <c r="AU183" i="1"/>
  <c r="AT183" i="1"/>
  <c r="AU182" i="1"/>
  <c r="AT182" i="1"/>
  <c r="AU181" i="1"/>
  <c r="AT181" i="1"/>
  <c r="AU180" i="1"/>
  <c r="AT180" i="1"/>
  <c r="AU179" i="1"/>
  <c r="AT179" i="1"/>
  <c r="AU178" i="1"/>
  <c r="AT178" i="1"/>
  <c r="AU177" i="1"/>
  <c r="AT177" i="1"/>
  <c r="AU176" i="1"/>
  <c r="AT176" i="1"/>
  <c r="AU175" i="1"/>
  <c r="AT175" i="1"/>
  <c r="AU174" i="1"/>
  <c r="AT174" i="1"/>
  <c r="AU173" i="1"/>
  <c r="AT173" i="1"/>
  <c r="AU172" i="1"/>
  <c r="AT172" i="1"/>
  <c r="AU171" i="1"/>
  <c r="AT171" i="1"/>
  <c r="AU170" i="1"/>
  <c r="AT170" i="1"/>
  <c r="AU169" i="1"/>
  <c r="AT169" i="1"/>
  <c r="AU168" i="1"/>
  <c r="AT168" i="1"/>
  <c r="AU167" i="1"/>
  <c r="AT167" i="1"/>
  <c r="AU164" i="1"/>
  <c r="AT164" i="1"/>
  <c r="AU163" i="1"/>
  <c r="AT163" i="1"/>
  <c r="AU162" i="1"/>
  <c r="AT162" i="1"/>
  <c r="AU161" i="1"/>
  <c r="AT161" i="1"/>
  <c r="AU160" i="1"/>
  <c r="AT160" i="1"/>
  <c r="AU159" i="1"/>
  <c r="AT159" i="1"/>
  <c r="AU158" i="1"/>
  <c r="AT158" i="1"/>
  <c r="AU157" i="1"/>
  <c r="AT157" i="1"/>
  <c r="AU156" i="1"/>
  <c r="AT156" i="1"/>
  <c r="AU155" i="1"/>
  <c r="AT155" i="1"/>
  <c r="AU154" i="1"/>
  <c r="AT154" i="1"/>
  <c r="AU153" i="1"/>
  <c r="AT153" i="1"/>
  <c r="AU152" i="1"/>
  <c r="AT152" i="1"/>
  <c r="AU151" i="1"/>
  <c r="AT151" i="1"/>
  <c r="AU150" i="1"/>
  <c r="AT150" i="1"/>
  <c r="AU149" i="1"/>
  <c r="AT149" i="1"/>
  <c r="AU148" i="1"/>
  <c r="AT148" i="1"/>
  <c r="AU147" i="1"/>
  <c r="AT147" i="1"/>
  <c r="AU143" i="1"/>
  <c r="AT143" i="1"/>
  <c r="AU142" i="1"/>
  <c r="AT142" i="1"/>
  <c r="AU141" i="1"/>
  <c r="AT141" i="1"/>
  <c r="AU140" i="1"/>
  <c r="AT140" i="1"/>
  <c r="AU139" i="1"/>
  <c r="AT139" i="1"/>
  <c r="AU138" i="1"/>
  <c r="AT138" i="1"/>
  <c r="AU137" i="1"/>
  <c r="AT137" i="1"/>
  <c r="AU136" i="1"/>
  <c r="AT136" i="1"/>
  <c r="AU135" i="1"/>
  <c r="AT135" i="1"/>
  <c r="AU134" i="1"/>
  <c r="AT134" i="1"/>
  <c r="AU133" i="1"/>
  <c r="AT133" i="1"/>
  <c r="AU132" i="1"/>
  <c r="AT132" i="1"/>
  <c r="AU131" i="1"/>
  <c r="AT131" i="1"/>
  <c r="AU130" i="1"/>
  <c r="AT130" i="1"/>
  <c r="AU129" i="1"/>
  <c r="AT129" i="1"/>
  <c r="AU128" i="1"/>
  <c r="AT128" i="1"/>
  <c r="AU127" i="1"/>
  <c r="AT127" i="1"/>
  <c r="AU126" i="1"/>
  <c r="AT126" i="1"/>
  <c r="AU122" i="1"/>
  <c r="AT122" i="1"/>
  <c r="AU121" i="1"/>
  <c r="AT121" i="1"/>
  <c r="AU120" i="1"/>
  <c r="AT120" i="1"/>
  <c r="AU119" i="1"/>
  <c r="AT119" i="1"/>
  <c r="AU118" i="1"/>
  <c r="AT118" i="1"/>
  <c r="AU117" i="1"/>
  <c r="AT117" i="1"/>
  <c r="AU116" i="1"/>
  <c r="AT116" i="1"/>
  <c r="AU115" i="1"/>
  <c r="AT115" i="1"/>
  <c r="AU114" i="1"/>
  <c r="AT114" i="1"/>
  <c r="AU113" i="1"/>
  <c r="AT113" i="1"/>
  <c r="AU112" i="1"/>
  <c r="AT112" i="1"/>
  <c r="AU111" i="1"/>
  <c r="AT111" i="1"/>
  <c r="AU110" i="1"/>
  <c r="AT110" i="1"/>
  <c r="AU109" i="1"/>
  <c r="AT109" i="1"/>
  <c r="AU108" i="1"/>
  <c r="AT108" i="1"/>
  <c r="AU107" i="1"/>
  <c r="AT107" i="1"/>
  <c r="AU106" i="1"/>
  <c r="AT106" i="1"/>
  <c r="AU105" i="1"/>
  <c r="AT105" i="1"/>
  <c r="AU19" i="1"/>
  <c r="AT19" i="1"/>
  <c r="AU18" i="1"/>
  <c r="AT18" i="1"/>
  <c r="AU17" i="1"/>
  <c r="AT17" i="1"/>
  <c r="AU16" i="1"/>
  <c r="AT16" i="1"/>
  <c r="AU15" i="1"/>
  <c r="AT15" i="1"/>
  <c r="AU14" i="1"/>
  <c r="AT14" i="1"/>
  <c r="AU13" i="1"/>
  <c r="AT13" i="1"/>
  <c r="AU12" i="1"/>
  <c r="AT12" i="1"/>
  <c r="AU11" i="1"/>
  <c r="AT11" i="1"/>
  <c r="AU10" i="1"/>
  <c r="AT10" i="1"/>
  <c r="AU9" i="1"/>
  <c r="AT9" i="1"/>
  <c r="AU8" i="1"/>
  <c r="AT8" i="1"/>
  <c r="AU7" i="1"/>
  <c r="AT7" i="1"/>
  <c r="AU6" i="1"/>
  <c r="AT6" i="1"/>
  <c r="AU5" i="1"/>
  <c r="AT5" i="1"/>
  <c r="AU4" i="1"/>
  <c r="AT4" i="1"/>
  <c r="AU3" i="1"/>
  <c r="AT3" i="1"/>
  <c r="AU2" i="1"/>
  <c r="AT2" i="1"/>
  <c r="AI248" i="1"/>
  <c r="AI247" i="1"/>
  <c r="AI246" i="1"/>
  <c r="AI245" i="1"/>
  <c r="AI244" i="1"/>
  <c r="AI243" i="1"/>
  <c r="AI242" i="1"/>
  <c r="AI241" i="1"/>
  <c r="AI240" i="1"/>
  <c r="AI239" i="1"/>
  <c r="AI238" i="1"/>
  <c r="AI237" i="1"/>
  <c r="AI236" i="1"/>
  <c r="AI235" i="1"/>
  <c r="AI234" i="1"/>
  <c r="AI233" i="1"/>
  <c r="AI232" i="1"/>
  <c r="AI231" i="1"/>
  <c r="Z248" i="1"/>
  <c r="Z247" i="1"/>
  <c r="Z246" i="1"/>
  <c r="Z245" i="1"/>
  <c r="Z244" i="1"/>
  <c r="Z243" i="1"/>
  <c r="Z242" i="1"/>
  <c r="Z241" i="1"/>
  <c r="Z240" i="1"/>
  <c r="Z239" i="1"/>
  <c r="Z238" i="1"/>
  <c r="Z237" i="1"/>
  <c r="Z236" i="1"/>
  <c r="Z235" i="1"/>
  <c r="Z234" i="1"/>
  <c r="Z233" i="1"/>
  <c r="Z232" i="1"/>
  <c r="Z231" i="1"/>
  <c r="Q248" i="1"/>
  <c r="Q247" i="1"/>
  <c r="Q246" i="1"/>
  <c r="Q245" i="1"/>
  <c r="Q244" i="1"/>
  <c r="Q243" i="1"/>
  <c r="Q242" i="1"/>
  <c r="Q241" i="1"/>
  <c r="Q240" i="1"/>
  <c r="Q239" i="1"/>
  <c r="Q238" i="1"/>
  <c r="Q237" i="1"/>
  <c r="Q236" i="1"/>
  <c r="Q235" i="1"/>
  <c r="Q234" i="1"/>
  <c r="Q233" i="1"/>
  <c r="Q232" i="1"/>
  <c r="Q231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AR227" i="1"/>
  <c r="AR226" i="1"/>
  <c r="AR225" i="1"/>
  <c r="AR224" i="1"/>
  <c r="AR223" i="1"/>
  <c r="AR222" i="1"/>
  <c r="AR221" i="1"/>
  <c r="AR220" i="1"/>
  <c r="AR219" i="1"/>
  <c r="AR218" i="1"/>
  <c r="AR217" i="1"/>
  <c r="AR216" i="1"/>
  <c r="AR215" i="1"/>
  <c r="AR214" i="1"/>
  <c r="AR213" i="1"/>
  <c r="AR212" i="1"/>
  <c r="AR211" i="1"/>
  <c r="AR210" i="1"/>
  <c r="AI227" i="1"/>
  <c r="AI226" i="1"/>
  <c r="AI225" i="1"/>
  <c r="AI224" i="1"/>
  <c r="AI223" i="1"/>
  <c r="AI222" i="1"/>
  <c r="AI221" i="1"/>
  <c r="AI220" i="1"/>
  <c r="AI219" i="1"/>
  <c r="AI218" i="1"/>
  <c r="AI217" i="1"/>
  <c r="AI216" i="1"/>
  <c r="AI215" i="1"/>
  <c r="AI214" i="1"/>
  <c r="AI213" i="1"/>
  <c r="AI212" i="1"/>
  <c r="AI211" i="1"/>
  <c r="AI210" i="1"/>
  <c r="Z227" i="1"/>
  <c r="Z226" i="1"/>
  <c r="Z225" i="1"/>
  <c r="Z224" i="1"/>
  <c r="Z223" i="1"/>
  <c r="Z222" i="1"/>
  <c r="Z221" i="1"/>
  <c r="Z220" i="1"/>
  <c r="Z219" i="1"/>
  <c r="Z218" i="1"/>
  <c r="Z217" i="1"/>
  <c r="Z216" i="1"/>
  <c r="Z215" i="1"/>
  <c r="Z214" i="1"/>
  <c r="Z213" i="1"/>
  <c r="Z212" i="1"/>
  <c r="Z211" i="1"/>
  <c r="Z210" i="1"/>
  <c r="Q227" i="1"/>
  <c r="Q226" i="1"/>
  <c r="Q225" i="1"/>
  <c r="Q224" i="1"/>
  <c r="Q223" i="1"/>
  <c r="Q222" i="1"/>
  <c r="Q221" i="1"/>
  <c r="Q220" i="1"/>
  <c r="Q219" i="1"/>
  <c r="Q218" i="1"/>
  <c r="Q217" i="1"/>
  <c r="Q216" i="1"/>
  <c r="Q215" i="1"/>
  <c r="Q214" i="1"/>
  <c r="Q213" i="1"/>
  <c r="Q212" i="1"/>
  <c r="Q211" i="1"/>
  <c r="Q210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AU80" i="1"/>
  <c r="AU79" i="1"/>
  <c r="AU78" i="1"/>
  <c r="AU77" i="1"/>
  <c r="AU76" i="1"/>
  <c r="AU75" i="1"/>
  <c r="AU74" i="1"/>
  <c r="AU73" i="1"/>
  <c r="AU72" i="1"/>
  <c r="AU71" i="1"/>
  <c r="AU70" i="1"/>
  <c r="AU69" i="1"/>
  <c r="AU68" i="1"/>
  <c r="AU67" i="1"/>
  <c r="AU66" i="1"/>
  <c r="AU65" i="1"/>
  <c r="AU64" i="1"/>
  <c r="AU63" i="1"/>
  <c r="AU59" i="1"/>
  <c r="AU58" i="1"/>
  <c r="AU57" i="1"/>
  <c r="AU56" i="1"/>
  <c r="AU55" i="1"/>
  <c r="AU54" i="1"/>
  <c r="AU53" i="1"/>
  <c r="AU52" i="1"/>
  <c r="AU51" i="1"/>
  <c r="AU50" i="1"/>
  <c r="AU49" i="1"/>
  <c r="AU48" i="1"/>
  <c r="AU47" i="1"/>
  <c r="AU46" i="1"/>
  <c r="AU45" i="1"/>
  <c r="AU44" i="1"/>
  <c r="AU43" i="1"/>
  <c r="AU42" i="1"/>
  <c r="AU23" i="1"/>
  <c r="AU24" i="1"/>
  <c r="AU25" i="1"/>
  <c r="AU26" i="1"/>
  <c r="AU27" i="1"/>
  <c r="AU28" i="1"/>
  <c r="AU29" i="1"/>
  <c r="AU30" i="1"/>
  <c r="AU31" i="1"/>
  <c r="AU32" i="1"/>
  <c r="AU33" i="1"/>
  <c r="AU34" i="1"/>
  <c r="AU35" i="1"/>
  <c r="AU36" i="1"/>
  <c r="AU37" i="1"/>
  <c r="AU38" i="1"/>
  <c r="AU39" i="1"/>
  <c r="AU22" i="1"/>
  <c r="AR206" i="1"/>
  <c r="AR205" i="1"/>
  <c r="AR204" i="1"/>
  <c r="AR203" i="1"/>
  <c r="AR202" i="1"/>
  <c r="AR201" i="1"/>
  <c r="AR200" i="1"/>
  <c r="AR199" i="1"/>
  <c r="AR198" i="1"/>
  <c r="AR197" i="1"/>
  <c r="AR196" i="1"/>
  <c r="AR195" i="1"/>
  <c r="AR194" i="1"/>
  <c r="AR193" i="1"/>
  <c r="AR192" i="1"/>
  <c r="AR191" i="1"/>
  <c r="AR190" i="1"/>
  <c r="AR189" i="1"/>
  <c r="AI206" i="1"/>
  <c r="AI205" i="1"/>
  <c r="AI204" i="1"/>
  <c r="AI203" i="1"/>
  <c r="AI202" i="1"/>
  <c r="AI201" i="1"/>
  <c r="AI200" i="1"/>
  <c r="AI199" i="1"/>
  <c r="AI198" i="1"/>
  <c r="AI197" i="1"/>
  <c r="AI196" i="1"/>
  <c r="AI195" i="1"/>
  <c r="AI194" i="1"/>
  <c r="AI193" i="1"/>
  <c r="AI192" i="1"/>
  <c r="AI191" i="1"/>
  <c r="AI190" i="1"/>
  <c r="AI189" i="1"/>
  <c r="AT188" i="1"/>
  <c r="Z206" i="1"/>
  <c r="Z205" i="1"/>
  <c r="Z204" i="1"/>
  <c r="Z203" i="1"/>
  <c r="Z202" i="1"/>
  <c r="Z201" i="1"/>
  <c r="Z200" i="1"/>
  <c r="Z199" i="1"/>
  <c r="Z198" i="1"/>
  <c r="Z197" i="1"/>
  <c r="Z196" i="1"/>
  <c r="Z195" i="1"/>
  <c r="Z194" i="1"/>
  <c r="Z193" i="1"/>
  <c r="Z192" i="1"/>
  <c r="Z191" i="1"/>
  <c r="Z190" i="1"/>
  <c r="Z189" i="1"/>
  <c r="Q206" i="1"/>
  <c r="Q205" i="1"/>
  <c r="Q204" i="1"/>
  <c r="Q203" i="1"/>
  <c r="Q202" i="1"/>
  <c r="Q201" i="1"/>
  <c r="Q200" i="1"/>
  <c r="Q199" i="1"/>
  <c r="Q198" i="1"/>
  <c r="Q197" i="1"/>
  <c r="Q196" i="1"/>
  <c r="Q195" i="1"/>
  <c r="Q194" i="1"/>
  <c r="Q193" i="1"/>
  <c r="Q192" i="1"/>
  <c r="Q191" i="1"/>
  <c r="Q190" i="1"/>
  <c r="Q189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AI185" i="1"/>
  <c r="AI184" i="1"/>
  <c r="AI183" i="1"/>
  <c r="AI182" i="1"/>
  <c r="AI181" i="1"/>
  <c r="AI180" i="1"/>
  <c r="AI179" i="1"/>
  <c r="AI178" i="1"/>
  <c r="AI177" i="1"/>
  <c r="AI176" i="1"/>
  <c r="AI175" i="1"/>
  <c r="AI174" i="1"/>
  <c r="AI173" i="1"/>
  <c r="AI172" i="1"/>
  <c r="AI171" i="1"/>
  <c r="AI170" i="1"/>
  <c r="AI169" i="1"/>
  <c r="AI168" i="1"/>
  <c r="Z185" i="1"/>
  <c r="Z184" i="1"/>
  <c r="Z183" i="1"/>
  <c r="Z182" i="1"/>
  <c r="Z181" i="1"/>
  <c r="Z180" i="1"/>
  <c r="Z179" i="1"/>
  <c r="Z178" i="1"/>
  <c r="Z177" i="1"/>
  <c r="Z176" i="1"/>
  <c r="Z175" i="1"/>
  <c r="Z174" i="1"/>
  <c r="Z173" i="1"/>
  <c r="Z172" i="1"/>
  <c r="Z171" i="1"/>
  <c r="Z170" i="1"/>
  <c r="Z169" i="1"/>
  <c r="Z168" i="1"/>
  <c r="Q185" i="1"/>
  <c r="Q184" i="1"/>
  <c r="Q183" i="1"/>
  <c r="Q182" i="1"/>
  <c r="Q181" i="1"/>
  <c r="Q180" i="1"/>
  <c r="Q179" i="1"/>
  <c r="Q178" i="1"/>
  <c r="Q177" i="1"/>
  <c r="Q176" i="1"/>
  <c r="Q175" i="1"/>
  <c r="Q174" i="1"/>
  <c r="Q173" i="1"/>
  <c r="Q172" i="1"/>
  <c r="Q171" i="1"/>
  <c r="Q170" i="1"/>
  <c r="Q169" i="1"/>
  <c r="Q168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AR164" i="1"/>
  <c r="AR163" i="1"/>
  <c r="AR162" i="1"/>
  <c r="AR161" i="1"/>
  <c r="AR160" i="1"/>
  <c r="AR159" i="1"/>
  <c r="AR158" i="1"/>
  <c r="AR157" i="1"/>
  <c r="AR156" i="1"/>
  <c r="AR155" i="1"/>
  <c r="AR154" i="1"/>
  <c r="AR153" i="1"/>
  <c r="AR152" i="1"/>
  <c r="AR151" i="1"/>
  <c r="AR150" i="1"/>
  <c r="AR149" i="1"/>
  <c r="AR148" i="1"/>
  <c r="AR147" i="1"/>
  <c r="AI164" i="1"/>
  <c r="AI163" i="1"/>
  <c r="AI162" i="1"/>
  <c r="AI161" i="1"/>
  <c r="AI160" i="1"/>
  <c r="AI159" i="1"/>
  <c r="AI158" i="1"/>
  <c r="AI157" i="1"/>
  <c r="AI156" i="1"/>
  <c r="AI155" i="1"/>
  <c r="AI154" i="1"/>
  <c r="AI153" i="1"/>
  <c r="AI152" i="1"/>
  <c r="AI151" i="1"/>
  <c r="AI150" i="1"/>
  <c r="AI149" i="1"/>
  <c r="AI148" i="1"/>
  <c r="AI147" i="1"/>
  <c r="Z164" i="1"/>
  <c r="Z163" i="1"/>
  <c r="Z162" i="1"/>
  <c r="Z161" i="1"/>
  <c r="Z160" i="1"/>
  <c r="Z159" i="1"/>
  <c r="Z158" i="1"/>
  <c r="Z157" i="1"/>
  <c r="Z156" i="1"/>
  <c r="Z155" i="1"/>
  <c r="Z154" i="1"/>
  <c r="Z153" i="1"/>
  <c r="Z152" i="1"/>
  <c r="Z151" i="1"/>
  <c r="Z150" i="1"/>
  <c r="Z149" i="1"/>
  <c r="Z148" i="1"/>
  <c r="Z147" i="1"/>
  <c r="Q164" i="1"/>
  <c r="Q163" i="1"/>
  <c r="Q162" i="1"/>
  <c r="Q161" i="1"/>
  <c r="Q160" i="1"/>
  <c r="Q159" i="1"/>
  <c r="Q158" i="1"/>
  <c r="Q157" i="1"/>
  <c r="Q156" i="1"/>
  <c r="Q155" i="1"/>
  <c r="Q154" i="1"/>
  <c r="Q153" i="1"/>
  <c r="Q152" i="1"/>
  <c r="Q151" i="1"/>
  <c r="Q150" i="1"/>
  <c r="Q149" i="1"/>
  <c r="Q148" i="1"/>
  <c r="Q147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AR143" i="1"/>
  <c r="AR142" i="1"/>
  <c r="AR141" i="1"/>
  <c r="AR140" i="1"/>
  <c r="AR139" i="1"/>
  <c r="AR138" i="1"/>
  <c r="AR137" i="1"/>
  <c r="AR136" i="1"/>
  <c r="AR135" i="1"/>
  <c r="AR134" i="1"/>
  <c r="AR133" i="1"/>
  <c r="AR132" i="1"/>
  <c r="AR131" i="1"/>
  <c r="AR130" i="1"/>
  <c r="AR129" i="1"/>
  <c r="AR128" i="1"/>
  <c r="AR127" i="1"/>
  <c r="AR126" i="1"/>
  <c r="AI143" i="1"/>
  <c r="AI142" i="1"/>
  <c r="AI141" i="1"/>
  <c r="AI140" i="1"/>
  <c r="AI139" i="1"/>
  <c r="AI138" i="1"/>
  <c r="AI137" i="1"/>
  <c r="AI136" i="1"/>
  <c r="AI135" i="1"/>
  <c r="AI134" i="1"/>
  <c r="AI133" i="1"/>
  <c r="AI132" i="1"/>
  <c r="AI131" i="1"/>
  <c r="AI130" i="1"/>
  <c r="AI129" i="1"/>
  <c r="AI128" i="1"/>
  <c r="AI127" i="1"/>
  <c r="AI126" i="1"/>
  <c r="Z143" i="1"/>
  <c r="Z142" i="1"/>
  <c r="Z141" i="1"/>
  <c r="Z140" i="1"/>
  <c r="Z139" i="1"/>
  <c r="Z138" i="1"/>
  <c r="Z137" i="1"/>
  <c r="Z136" i="1"/>
  <c r="Z135" i="1"/>
  <c r="Z134" i="1"/>
  <c r="Z133" i="1"/>
  <c r="Z132" i="1"/>
  <c r="Z131" i="1"/>
  <c r="Z130" i="1"/>
  <c r="Z129" i="1"/>
  <c r="Z128" i="1"/>
  <c r="Z127" i="1"/>
  <c r="Z126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AR122" i="1"/>
  <c r="AR121" i="1"/>
  <c r="AR120" i="1"/>
  <c r="AR119" i="1"/>
  <c r="AR118" i="1"/>
  <c r="AR117" i="1"/>
  <c r="AR116" i="1"/>
  <c r="AR115" i="1"/>
  <c r="AR114" i="1"/>
  <c r="AR113" i="1"/>
  <c r="AR112" i="1"/>
  <c r="AR111" i="1"/>
  <c r="AR110" i="1"/>
  <c r="AR109" i="1"/>
  <c r="AR108" i="1"/>
  <c r="AR107" i="1"/>
  <c r="AR106" i="1"/>
  <c r="AR105" i="1"/>
  <c r="AI122" i="1"/>
  <c r="AI121" i="1"/>
  <c r="AI120" i="1"/>
  <c r="AI119" i="1"/>
  <c r="AI118" i="1"/>
  <c r="AI117" i="1"/>
  <c r="AI116" i="1"/>
  <c r="AI115" i="1"/>
  <c r="AI114" i="1"/>
  <c r="AI113" i="1"/>
  <c r="AI112" i="1"/>
  <c r="AI111" i="1"/>
  <c r="AI110" i="1"/>
  <c r="AI109" i="1"/>
  <c r="AI108" i="1"/>
  <c r="AI107" i="1"/>
  <c r="AI106" i="1"/>
  <c r="AI105" i="1"/>
  <c r="Z122" i="1"/>
  <c r="Z121" i="1"/>
  <c r="Z120" i="1"/>
  <c r="Z119" i="1"/>
  <c r="Z118" i="1"/>
  <c r="Z117" i="1"/>
  <c r="Z116" i="1"/>
  <c r="Z115" i="1"/>
  <c r="Z114" i="1"/>
  <c r="Z113" i="1"/>
  <c r="Z112" i="1"/>
  <c r="Z111" i="1"/>
  <c r="Z110" i="1"/>
  <c r="Z109" i="1"/>
  <c r="Z108" i="1"/>
  <c r="Z107" i="1"/>
  <c r="Z106" i="1"/>
  <c r="Z105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AR101" i="1"/>
  <c r="AR100" i="1"/>
  <c r="AR99" i="1"/>
  <c r="AR98" i="1"/>
  <c r="AR97" i="1"/>
  <c r="AR96" i="1"/>
  <c r="AR95" i="1"/>
  <c r="AR94" i="1"/>
  <c r="AR93" i="1"/>
  <c r="AR92" i="1"/>
  <c r="AR91" i="1"/>
  <c r="AR90" i="1"/>
  <c r="AR89" i="1"/>
  <c r="AR88" i="1"/>
  <c r="AR87" i="1"/>
  <c r="AR86" i="1"/>
  <c r="AR85" i="1"/>
  <c r="AR84" i="1"/>
  <c r="AI101" i="1"/>
  <c r="AI100" i="1"/>
  <c r="AI99" i="1"/>
  <c r="AI98" i="1"/>
  <c r="AI97" i="1"/>
  <c r="AI96" i="1"/>
  <c r="AI95" i="1"/>
  <c r="AI94" i="1"/>
  <c r="AI93" i="1"/>
  <c r="AI92" i="1"/>
  <c r="AI91" i="1"/>
  <c r="AI90" i="1"/>
  <c r="AI89" i="1"/>
  <c r="AI88" i="1"/>
  <c r="AI87" i="1"/>
  <c r="AI86" i="1"/>
  <c r="AI85" i="1"/>
  <c r="AI84" i="1"/>
  <c r="Z101" i="1"/>
  <c r="Z100" i="1"/>
  <c r="Z99" i="1"/>
  <c r="Z98" i="1"/>
  <c r="Z97" i="1"/>
  <c r="Z96" i="1"/>
  <c r="Z95" i="1"/>
  <c r="Z94" i="1"/>
  <c r="Z93" i="1"/>
  <c r="Z92" i="1"/>
  <c r="Z91" i="1"/>
  <c r="Z90" i="1"/>
  <c r="Z89" i="1"/>
  <c r="Z88" i="1"/>
  <c r="Z87" i="1"/>
  <c r="Z86" i="1"/>
  <c r="Z85" i="1"/>
  <c r="Z84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AR80" i="1"/>
  <c r="AT80" i="1"/>
  <c r="AT79" i="1"/>
  <c r="AT78" i="1"/>
  <c r="AT77" i="1"/>
  <c r="AT76" i="1"/>
  <c r="AT75" i="1"/>
  <c r="AT74" i="1"/>
  <c r="AT73" i="1"/>
  <c r="AT72" i="1"/>
  <c r="AT71" i="1"/>
  <c r="AT70" i="1"/>
  <c r="AT69" i="1"/>
  <c r="AT68" i="1"/>
  <c r="AT67" i="1"/>
  <c r="AT66" i="1"/>
  <c r="AT65" i="1"/>
  <c r="AT64" i="1"/>
  <c r="AT63" i="1"/>
  <c r="AR79" i="1"/>
  <c r="AR78" i="1"/>
  <c r="AR77" i="1"/>
  <c r="AR76" i="1"/>
  <c r="AR75" i="1"/>
  <c r="AR74" i="1"/>
  <c r="AR73" i="1"/>
  <c r="AR72" i="1"/>
  <c r="AR71" i="1"/>
  <c r="AR70" i="1"/>
  <c r="AR69" i="1"/>
  <c r="AR68" i="1"/>
  <c r="AR67" i="1"/>
  <c r="AR66" i="1"/>
  <c r="AR65" i="1"/>
  <c r="AR64" i="1"/>
  <c r="AR63" i="1"/>
  <c r="AI80" i="1"/>
  <c r="AI79" i="1"/>
  <c r="AI78" i="1"/>
  <c r="AI77" i="1"/>
  <c r="AI76" i="1"/>
  <c r="AI75" i="1"/>
  <c r="AI74" i="1"/>
  <c r="AI73" i="1"/>
  <c r="AI72" i="1"/>
  <c r="AI71" i="1"/>
  <c r="AI70" i="1"/>
  <c r="AI69" i="1"/>
  <c r="AI68" i="1"/>
  <c r="AI67" i="1"/>
  <c r="AI66" i="1"/>
  <c r="AI65" i="1"/>
  <c r="AI64" i="1"/>
  <c r="AI63" i="1"/>
  <c r="Z80" i="1"/>
  <c r="Z79" i="1"/>
  <c r="Z78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AT59" i="1"/>
  <c r="AT58" i="1"/>
  <c r="AT57" i="1"/>
  <c r="AT56" i="1"/>
  <c r="AT55" i="1"/>
  <c r="AT54" i="1"/>
  <c r="AT53" i="1"/>
  <c r="AT52" i="1"/>
  <c r="AT51" i="1"/>
  <c r="AT50" i="1"/>
  <c r="AT49" i="1"/>
  <c r="AT48" i="1"/>
  <c r="AT47" i="1"/>
  <c r="AT46" i="1"/>
  <c r="AT45" i="1"/>
  <c r="AT44" i="1"/>
  <c r="AT43" i="1"/>
  <c r="AT42" i="1"/>
  <c r="AR59" i="1"/>
  <c r="AR58" i="1"/>
  <c r="AR57" i="1"/>
  <c r="AR56" i="1"/>
  <c r="AR55" i="1"/>
  <c r="AR54" i="1"/>
  <c r="AR53" i="1"/>
  <c r="AR52" i="1"/>
  <c r="AR51" i="1"/>
  <c r="AR50" i="1"/>
  <c r="AR49" i="1"/>
  <c r="AR48" i="1"/>
  <c r="AR47" i="1"/>
  <c r="AR46" i="1"/>
  <c r="AR45" i="1"/>
  <c r="AR44" i="1"/>
  <c r="AR43" i="1"/>
  <c r="AR42" i="1"/>
  <c r="AI59" i="1"/>
  <c r="AI58" i="1"/>
  <c r="AI57" i="1"/>
  <c r="AI56" i="1"/>
  <c r="AI55" i="1"/>
  <c r="AI54" i="1"/>
  <c r="AI53" i="1"/>
  <c r="AI52" i="1"/>
  <c r="AI51" i="1"/>
  <c r="AI50" i="1"/>
  <c r="AI49" i="1"/>
  <c r="AI48" i="1"/>
  <c r="AI47" i="1"/>
  <c r="AI46" i="1"/>
  <c r="AI45" i="1"/>
  <c r="AI44" i="1"/>
  <c r="AI43" i="1"/>
  <c r="AI42" i="1"/>
  <c r="Z59" i="1"/>
  <c r="Z58" i="1"/>
  <c r="Z57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37" i="1"/>
  <c r="AT38" i="1"/>
  <c r="AT39" i="1"/>
  <c r="AR39" i="1"/>
  <c r="AR38" i="1"/>
  <c r="AR37" i="1"/>
  <c r="AR36" i="1"/>
  <c r="AR35" i="1"/>
  <c r="AR34" i="1"/>
  <c r="AR33" i="1"/>
  <c r="AR32" i="1"/>
  <c r="AR31" i="1"/>
  <c r="AR30" i="1"/>
  <c r="AR29" i="1"/>
  <c r="AR28" i="1"/>
  <c r="AR27" i="1"/>
  <c r="AR26" i="1"/>
  <c r="AR25" i="1"/>
  <c r="AR24" i="1"/>
  <c r="AR23" i="1"/>
  <c r="AR22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AI19" i="1"/>
  <c r="AI18" i="1"/>
  <c r="AI17" i="1"/>
  <c r="AI16" i="1"/>
  <c r="AI15" i="1"/>
  <c r="AI14" i="1"/>
  <c r="AI13" i="1"/>
  <c r="AI12" i="1"/>
  <c r="AI11" i="1"/>
  <c r="AI10" i="1"/>
  <c r="AI9" i="1"/>
  <c r="AI8" i="1"/>
  <c r="AI7" i="1"/>
  <c r="AI6" i="1"/>
  <c r="AI5" i="1"/>
  <c r="AI4" i="1"/>
  <c r="AI3" i="1"/>
  <c r="AI2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Z3" i="1"/>
  <c r="Z2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Q2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</calcChain>
</file>

<file path=xl/sharedStrings.xml><?xml version="1.0" encoding="utf-8"?>
<sst xmlns="http://schemas.openxmlformats.org/spreadsheetml/2006/main" count="2038" uniqueCount="30">
  <si>
    <t>aop</t>
  </si>
  <si>
    <t>depth</t>
  </si>
  <si>
    <t>omega</t>
  </si>
  <si>
    <t>value_mob</t>
  </si>
  <si>
    <t>value_aomc</t>
  </si>
  <si>
    <t>CV</t>
  </si>
  <si>
    <t>rd</t>
  </si>
  <si>
    <t>Ed</t>
  </si>
  <si>
    <t>Eou</t>
  </si>
  <si>
    <t>Lu</t>
  </si>
  <si>
    <t>cosine alpha=36 phi=6 SDH SPF</t>
  </si>
  <si>
    <t>cosine alpha=20 phi=24 Mobley  SPF</t>
  </si>
  <si>
    <t>angular  alpha=36 phi=6 SDH SPF</t>
  </si>
  <si>
    <t>angular  alpha=28 phi=6 SDH SPF</t>
  </si>
  <si>
    <t>angular  alpha=24 phi=6 SDH SPF</t>
  </si>
  <si>
    <t>angular  alpha=24 phi=20 SDH SPF</t>
  </si>
  <si>
    <t>angular  alpha=24 phi=20 Mobley SPF</t>
  </si>
  <si>
    <t>cosine  alpha=24 phi=20 Mobley SPF</t>
  </si>
  <si>
    <t>cosine  alpha=24 phi=6 Mobley SPF</t>
  </si>
  <si>
    <t>cosine  alpha=24 phi=6 Mobley SPF w/updated polar Lu and Ld</t>
  </si>
  <si>
    <t>Diff in value</t>
  </si>
  <si>
    <t>cosine  alpha=44 phi=6 Mobley SPF w/updated polar Lu and Ld</t>
  </si>
  <si>
    <t>cosine  alpha=90 phi=6 Mobley SPF w/updated polar Lu and Ld 50M photons</t>
  </si>
  <si>
    <t>cosine  alpha=160 phi=6 Mobley SPF w/updated polar Lu and Ld 100M photons</t>
  </si>
  <si>
    <t>cosine  alpha=160 phi=6 Mobley SPF w/updated polar Lu and Ld 500M photons</t>
  </si>
  <si>
    <t>cosine  alpha=160 phi=6 SD Harbor SPF w/updated polar Lu and Ld 500M photons</t>
  </si>
  <si>
    <t>AOMC CV</t>
  </si>
  <si>
    <t>cosine  alpha=24 phi=6 Mobley w/updated polar Lu and Ld updated VSF 50M and 10M photons (mix)</t>
  </si>
  <si>
    <t>cosine  alpha=60 phi=6 Mobley w/updated polar Lu and Ld updated VSF 50M photons</t>
  </si>
  <si>
    <t>cosine  alpha=48 phi=20 Mobley w/updated polar Lu and Ld updated VSF 50M photons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</si>
</sst>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10" fontId="0" fillId="0" borderId="0" xfId="0" applyNumberFormat="1"/>
    <xf numFmtId="0" fontId="0" fillId="0" borderId="1" xfId="0" applyBorder="1"/>
    <xf numFmtId="10" fontId="0" fillId="0" borderId="1" xfId="0" applyNumberFormat="1" applyBorder="1"/>
    <xf numFmtId="0" fontId="0" fillId="0" borderId="2" xfId="0" applyBorder="1"/>
    <xf numFmtId="0" fontId="0" fillId="3" borderId="0" xfId="0" applyFill="1"/>
    <xf numFmtId="0" fontId="0" fillId="2" borderId="0" xfId="0" applyFill="1" applyAlignment="1">
      <alignment horizontal="center"/>
    </xf>
    <xf numFmtId="9" fontId="0" fillId="0" borderId="0" xfId="1" applyFont="1"/>
    <xf numFmtId="9" fontId="0" fillId="4" borderId="0" xfId="1" applyFont="1" applyFill="1"/>
    <xf numFmtId="9" fontId="0" fillId="5" borderId="0" xfId="1" applyFont="1" applyFill="1"/>
    <xf numFmtId="0" fontId="0" fillId="0" borderId="0" xfId="0" applyFill="1"/>
    <xf numFmtId="0" fontId="0" fillId="0" borderId="0" xfId="0" applyNumberFormat="1"/>
    <xf numFmtId="10" fontId="0" fillId="3" borderId="0" xfId="1" applyNumberFormat="1" applyFont="1" applyFill="1"/>
    <xf numFmtId="10" fontId="0" fillId="4" borderId="0" xfId="1" applyNumberFormat="1" applyFont="1" applyFill="1"/>
    <xf numFmtId="10" fontId="0" fillId="5" borderId="0" xfId="1" applyNumberFormat="1" applyFont="1" applyFill="1"/>
    <xf numFmtId="10" fontId="0" fillId="0" borderId="0" xfId="1" applyNumberFormat="1" applyFont="1"/>
    <xf numFmtId="0" fontId="2" fillId="6" borderId="2" xfId="0" applyFont="1" applyFill="1" applyBorder="1"/>
    <xf numFmtId="0" fontId="2" fillId="6" borderId="0" xfId="0" applyFont="1" applyFill="1"/>
    <xf numFmtId="0" fontId="2" fillId="6" borderId="1" xfId="0" applyFont="1" applyFill="1" applyBorder="1"/>
  </cellXfs>
  <cellStyles count="2">
    <cellStyle name="Normal" xfId="0" builtinId="0"/>
    <cellStyle name="Percent" xfId="1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E02CB-C544-4ABC-9E94-79F324ABCE22}">
  <dimension ref="A1:BB396"/>
  <sheetViews>
    <sheetView tabSelected="1" zoomScale="85" zoomScaleNormal="85" workbookViewId="0">
      <pane xSplit="1" ySplit="1" topLeftCell="AM331" activePane="bottomRight" state="frozen"/>
      <selection pane="topRight" activeCell="B1" sqref="B1"/>
      <selection pane="bottomLeft" activeCell="A2" sqref="A2"/>
      <selection pane="bottomRight" sqref="A1:A1048576"/>
    </sheetView>
  </sheetViews>
  <sheetFormatPr defaultRowHeight="14.5" x14ac:dyDescent="0.35"/>
  <cols>
    <col min="1" max="1" width="5" style="17" customWidth="1"/>
    <col min="2" max="3" width="4" customWidth="1"/>
    <col min="8" max="8" width="10" customWidth="1"/>
    <col min="10" max="12" width="5" customWidth="1"/>
    <col min="17" max="17" width="9.1796875" customWidth="1"/>
    <col min="19" max="19" width="5.453125" customWidth="1"/>
    <col min="20" max="20" width="8.7265625" customWidth="1"/>
    <col min="21" max="21" width="5.453125" customWidth="1"/>
    <col min="26" max="26" width="10.54296875" customWidth="1"/>
    <col min="28" max="30" width="4.26953125" customWidth="1"/>
    <col min="34" max="34" width="10.36328125" customWidth="1"/>
    <col min="35" max="35" width="10" customWidth="1"/>
    <col min="45" max="45" width="8.7265625" style="10"/>
    <col min="46" max="46" width="8.7265625" style="12"/>
    <col min="47" max="47" width="8.7265625" style="7"/>
  </cols>
  <sheetData>
    <row r="1" spans="1:47" x14ac:dyDescent="0.35">
      <c r="A1" s="16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J1" t="s">
        <v>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S1" t="s">
        <v>0</v>
      </c>
      <c r="T1" t="s">
        <v>1</v>
      </c>
      <c r="U1" t="s">
        <v>2</v>
      </c>
      <c r="V1" t="s">
        <v>3</v>
      </c>
      <c r="W1" t="s">
        <v>4</v>
      </c>
      <c r="X1" t="s">
        <v>5</v>
      </c>
      <c r="Y1" t="s">
        <v>6</v>
      </c>
      <c r="AB1" t="s">
        <v>0</v>
      </c>
      <c r="AC1" t="s">
        <v>1</v>
      </c>
      <c r="AD1" t="s">
        <v>2</v>
      </c>
      <c r="AE1" t="s">
        <v>3</v>
      </c>
      <c r="AF1" t="s">
        <v>4</v>
      </c>
      <c r="AG1" t="s">
        <v>5</v>
      </c>
      <c r="AH1" t="s">
        <v>6</v>
      </c>
      <c r="AT1" s="12" t="s">
        <v>26</v>
      </c>
      <c r="AU1" s="7" t="s">
        <v>20</v>
      </c>
    </row>
    <row r="2" spans="1:47" x14ac:dyDescent="0.35">
      <c r="A2" s="17" t="s">
        <v>7</v>
      </c>
      <c r="B2">
        <v>0.8</v>
      </c>
      <c r="C2">
        <v>0.2</v>
      </c>
      <c r="D2">
        <v>0.16200000000000001</v>
      </c>
      <c r="E2">
        <v>0.16200000000000001</v>
      </c>
      <c r="F2" s="1">
        <v>0</v>
      </c>
      <c r="G2" s="1">
        <v>5.9999999999999995E-4</v>
      </c>
      <c r="H2" s="1" t="e">
        <f>ABS(G2/F2)</f>
        <v>#DIV/0!</v>
      </c>
      <c r="J2" t="s">
        <v>7</v>
      </c>
      <c r="K2">
        <v>0.8</v>
      </c>
      <c r="L2">
        <v>0.2</v>
      </c>
      <c r="M2">
        <v>0.16200000000000001</v>
      </c>
      <c r="N2">
        <v>0.16200000000000001</v>
      </c>
      <c r="O2" s="1">
        <v>0</v>
      </c>
      <c r="P2" s="1">
        <v>6.9999999999999999E-4</v>
      </c>
      <c r="Q2" s="1" t="e">
        <f>ABS(P2/O2)</f>
        <v>#DIV/0!</v>
      </c>
      <c r="S2" t="s">
        <v>7</v>
      </c>
      <c r="T2">
        <v>0.8</v>
      </c>
      <c r="U2">
        <v>0.2</v>
      </c>
      <c r="V2">
        <v>0.16200000000000001</v>
      </c>
      <c r="W2">
        <v>0.16200000000000001</v>
      </c>
      <c r="X2" s="1">
        <v>0</v>
      </c>
      <c r="Y2" s="1">
        <v>4.0000000000000002E-4</v>
      </c>
      <c r="Z2" s="1" t="e">
        <f>ABS(Y2/X2)</f>
        <v>#DIV/0!</v>
      </c>
      <c r="AB2" t="s">
        <v>7</v>
      </c>
      <c r="AC2">
        <v>0.8</v>
      </c>
      <c r="AD2">
        <v>0.2</v>
      </c>
      <c r="AE2">
        <v>0.16200000000000001</v>
      </c>
      <c r="AF2">
        <v>0.16200000000000001</v>
      </c>
      <c r="AG2" s="1">
        <v>0</v>
      </c>
      <c r="AH2" s="1">
        <v>6.9999999999999999E-4</v>
      </c>
      <c r="AI2" s="1" t="e">
        <f>ABS(AH2/AG2)</f>
        <v>#DIV/0!</v>
      </c>
      <c r="AT2" s="13">
        <f t="shared" ref="AT2:AT18" si="0">STDEV(AO2,AF2,W2,N2,E2)/ AVERAGE(AO2,AF2,W2,N2,E2)</f>
        <v>0</v>
      </c>
      <c r="AU2" s="8">
        <f>( D2 - AVERAGE(AO2,AF2,W2,N2,E2))/ D2</f>
        <v>0</v>
      </c>
    </row>
    <row r="3" spans="1:47" x14ac:dyDescent="0.35">
      <c r="A3" s="17" t="s">
        <v>7</v>
      </c>
      <c r="B3">
        <v>4</v>
      </c>
      <c r="C3">
        <v>0.2</v>
      </c>
      <c r="D3">
        <v>2.2699999999999999E-3</v>
      </c>
      <c r="E3">
        <v>2.2699999999999999E-3</v>
      </c>
      <c r="F3" s="1">
        <v>2E-3</v>
      </c>
      <c r="G3" s="1">
        <v>1.8E-3</v>
      </c>
      <c r="H3" s="1">
        <f t="shared" ref="H3:H19" si="1">ABS(G3/F3)</f>
        <v>0.89999999999999991</v>
      </c>
      <c r="J3" t="s">
        <v>7</v>
      </c>
      <c r="K3">
        <v>4</v>
      </c>
      <c r="L3">
        <v>0.2</v>
      </c>
      <c r="M3">
        <v>2.2699999999999999E-3</v>
      </c>
      <c r="N3">
        <v>2.2599999999999999E-3</v>
      </c>
      <c r="O3" s="1">
        <v>2E-3</v>
      </c>
      <c r="P3" s="1">
        <v>3.5999999999999999E-3</v>
      </c>
      <c r="Q3" s="1">
        <f t="shared" ref="Q3:Q19" si="2">ABS(P3/O3)</f>
        <v>1.7999999999999998</v>
      </c>
      <c r="S3" t="s">
        <v>7</v>
      </c>
      <c r="T3">
        <v>4</v>
      </c>
      <c r="U3">
        <v>0.2</v>
      </c>
      <c r="V3">
        <v>2.2699999999999999E-3</v>
      </c>
      <c r="W3">
        <v>2.2599999999999999E-3</v>
      </c>
      <c r="X3" s="1">
        <v>2E-3</v>
      </c>
      <c r="Y3" s="1">
        <v>3.0000000000000001E-3</v>
      </c>
      <c r="Z3" s="1">
        <f t="shared" ref="Z3:Z19" si="3">ABS(Y3/X3)</f>
        <v>1.5</v>
      </c>
      <c r="AB3" t="s">
        <v>7</v>
      </c>
      <c r="AC3">
        <v>4</v>
      </c>
      <c r="AD3">
        <v>0.2</v>
      </c>
      <c r="AE3">
        <v>2.2699999999999999E-3</v>
      </c>
      <c r="AF3">
        <v>2.2599999999999999E-3</v>
      </c>
      <c r="AG3" s="1">
        <v>2E-3</v>
      </c>
      <c r="AH3" s="1">
        <v>2.5000000000000001E-3</v>
      </c>
      <c r="AI3" s="1">
        <f t="shared" ref="AI3:AI19" si="4">ABS(AH3/AG3)</f>
        <v>1.25</v>
      </c>
      <c r="AT3" s="13">
        <f t="shared" si="0"/>
        <v>2.2099447513812217E-3</v>
      </c>
      <c r="AU3" s="8">
        <f t="shared" ref="AU3:AU19" si="5">( D3 - AVERAGE(AO3,AF3,W3,N3,E3))/ D3</f>
        <v>3.3039647577093076E-3</v>
      </c>
    </row>
    <row r="4" spans="1:47" x14ac:dyDescent="0.35">
      <c r="A4" s="17" t="s">
        <v>7</v>
      </c>
      <c r="B4">
        <v>8</v>
      </c>
      <c r="C4">
        <v>0.2</v>
      </c>
      <c r="D4">
        <v>1.2999999999999999E-5</v>
      </c>
      <c r="E4">
        <v>1.29E-5</v>
      </c>
      <c r="F4" s="1">
        <v>4.7E-2</v>
      </c>
      <c r="G4" s="1">
        <v>7.7000000000000002E-3</v>
      </c>
      <c r="H4" s="1">
        <f t="shared" si="1"/>
        <v>0.16382978723404257</v>
      </c>
      <c r="J4" t="s">
        <v>7</v>
      </c>
      <c r="K4">
        <v>8</v>
      </c>
      <c r="L4">
        <v>0.2</v>
      </c>
      <c r="M4">
        <v>1.2999999999999999E-5</v>
      </c>
      <c r="N4">
        <v>1.3200000000000001E-5</v>
      </c>
      <c r="O4" s="1">
        <v>4.7E-2</v>
      </c>
      <c r="P4" s="1">
        <v>-1.9199999999999998E-2</v>
      </c>
      <c r="Q4" s="1">
        <f t="shared" si="2"/>
        <v>0.40851063829787232</v>
      </c>
      <c r="S4" t="s">
        <v>7</v>
      </c>
      <c r="T4">
        <v>8</v>
      </c>
      <c r="U4">
        <v>0.2</v>
      </c>
      <c r="V4">
        <v>1.2999999999999999E-5</v>
      </c>
      <c r="W4">
        <v>1.34E-5</v>
      </c>
      <c r="X4" s="1">
        <v>4.7E-2</v>
      </c>
      <c r="Y4" s="1">
        <v>-3.3799999999999997E-2</v>
      </c>
      <c r="Z4" s="1">
        <f t="shared" si="3"/>
        <v>0.71914893617021269</v>
      </c>
      <c r="AB4" t="s">
        <v>7</v>
      </c>
      <c r="AC4">
        <v>8</v>
      </c>
      <c r="AD4">
        <v>0.2</v>
      </c>
      <c r="AE4">
        <v>1.2999999999999999E-5</v>
      </c>
      <c r="AF4">
        <v>1.33E-5</v>
      </c>
      <c r="AG4" s="1">
        <v>4.7E-2</v>
      </c>
      <c r="AH4" s="1">
        <v>-2.6200000000000001E-2</v>
      </c>
      <c r="AI4" s="1">
        <f t="shared" si="4"/>
        <v>0.55744680851063833</v>
      </c>
      <c r="AT4" s="13">
        <f t="shared" si="0"/>
        <v>1.6365506814161265E-2</v>
      </c>
      <c r="AU4" s="8">
        <f t="shared" si="5"/>
        <v>-1.5384615384615498E-2</v>
      </c>
    </row>
    <row r="5" spans="1:47" x14ac:dyDescent="0.35">
      <c r="A5" s="17" t="s">
        <v>8</v>
      </c>
      <c r="B5">
        <v>0.8</v>
      </c>
      <c r="C5">
        <v>0.2</v>
      </c>
      <c r="D5">
        <v>9.6599999999999995E-4</v>
      </c>
      <c r="E5">
        <v>9.9200000000000004E-4</v>
      </c>
      <c r="F5" s="1">
        <v>2.3E-2</v>
      </c>
      <c r="G5" s="1">
        <v>-2.69E-2</v>
      </c>
      <c r="H5" s="1">
        <f t="shared" si="1"/>
        <v>1.1695652173913045</v>
      </c>
      <c r="J5" t="s">
        <v>8</v>
      </c>
      <c r="K5">
        <v>0.8</v>
      </c>
      <c r="L5">
        <v>0.2</v>
      </c>
      <c r="M5">
        <v>9.6599999999999995E-4</v>
      </c>
      <c r="N5">
        <v>1E-3</v>
      </c>
      <c r="O5" s="1">
        <v>2.3E-2</v>
      </c>
      <c r="P5" s="1">
        <v>-3.5799999999999998E-2</v>
      </c>
      <c r="Q5" s="1">
        <f t="shared" si="2"/>
        <v>1.5565217391304347</v>
      </c>
      <c r="S5" t="s">
        <v>8</v>
      </c>
      <c r="T5">
        <v>0.8</v>
      </c>
      <c r="U5">
        <v>0.2</v>
      </c>
      <c r="V5">
        <v>9.6599999999999995E-4</v>
      </c>
      <c r="W5">
        <v>9.8799999999999995E-4</v>
      </c>
      <c r="X5" s="1">
        <v>2.3E-2</v>
      </c>
      <c r="Y5" s="1">
        <v>-2.3199999999999998E-2</v>
      </c>
      <c r="Z5" s="1">
        <f t="shared" si="3"/>
        <v>1.008695652173913</v>
      </c>
      <c r="AB5" t="s">
        <v>8</v>
      </c>
      <c r="AC5">
        <v>0.8</v>
      </c>
      <c r="AD5">
        <v>0.2</v>
      </c>
      <c r="AE5">
        <v>9.6599999999999995E-4</v>
      </c>
      <c r="AF5">
        <v>9.810000000000001E-4</v>
      </c>
      <c r="AG5" s="1">
        <v>2.3E-2</v>
      </c>
      <c r="AH5" s="1">
        <v>-1.5299999999999999E-2</v>
      </c>
      <c r="AI5" s="1">
        <f t="shared" si="4"/>
        <v>0.66521739130434776</v>
      </c>
      <c r="AT5" s="14">
        <f t="shared" si="0"/>
        <v>8.0101011759931059E-3</v>
      </c>
      <c r="AU5" s="9">
        <f t="shared" si="5"/>
        <v>-2.510351966873714E-2</v>
      </c>
    </row>
    <row r="6" spans="1:47" x14ac:dyDescent="0.35">
      <c r="A6" s="17" t="s">
        <v>8</v>
      </c>
      <c r="B6">
        <v>4</v>
      </c>
      <c r="C6">
        <v>0.2</v>
      </c>
      <c r="D6">
        <v>1.3699999999999999E-5</v>
      </c>
      <c r="E6">
        <v>1.29E-5</v>
      </c>
      <c r="F6" s="1">
        <v>6.3E-2</v>
      </c>
      <c r="G6" s="1">
        <v>6.13E-2</v>
      </c>
      <c r="H6" s="1">
        <f t="shared" si="1"/>
        <v>0.973015873015873</v>
      </c>
      <c r="J6" t="s">
        <v>8</v>
      </c>
      <c r="K6">
        <v>4</v>
      </c>
      <c r="L6">
        <v>0.2</v>
      </c>
      <c r="M6">
        <v>1.3699999999999999E-5</v>
      </c>
      <c r="N6">
        <v>1.4800000000000001E-5</v>
      </c>
      <c r="O6" s="1">
        <v>6.3E-2</v>
      </c>
      <c r="P6" s="1">
        <v>-8.1799999999999998E-2</v>
      </c>
      <c r="Q6" s="1">
        <f t="shared" si="2"/>
        <v>1.2984126984126985</v>
      </c>
      <c r="S6" t="s">
        <v>8</v>
      </c>
      <c r="T6">
        <v>4</v>
      </c>
      <c r="U6">
        <v>0.2</v>
      </c>
      <c r="V6">
        <v>1.3699999999999999E-5</v>
      </c>
      <c r="W6">
        <v>1.31E-5</v>
      </c>
      <c r="X6" s="1">
        <v>6.3E-2</v>
      </c>
      <c r="Y6" s="1">
        <v>4.3099999999999999E-2</v>
      </c>
      <c r="Z6" s="1">
        <f t="shared" si="3"/>
        <v>0.68412698412698414</v>
      </c>
      <c r="AB6" t="s">
        <v>8</v>
      </c>
      <c r="AC6">
        <v>4</v>
      </c>
      <c r="AD6">
        <v>0.2</v>
      </c>
      <c r="AE6">
        <v>1.3699999999999999E-5</v>
      </c>
      <c r="AF6">
        <v>1.43E-5</v>
      </c>
      <c r="AG6" s="1">
        <v>6.3E-2</v>
      </c>
      <c r="AH6" s="1">
        <v>-4.6699999999999998E-2</v>
      </c>
      <c r="AI6" s="1">
        <f t="shared" si="4"/>
        <v>0.74126984126984119</v>
      </c>
      <c r="AT6" s="14">
        <f t="shared" si="0"/>
        <v>6.6896725695240591E-2</v>
      </c>
      <c r="AU6" s="9">
        <f t="shared" si="5"/>
        <v>-5.4744525547446585E-3</v>
      </c>
    </row>
    <row r="7" spans="1:47" x14ac:dyDescent="0.35">
      <c r="A7" s="17" t="s">
        <v>8</v>
      </c>
      <c r="B7">
        <v>8</v>
      </c>
      <c r="C7">
        <v>0.2</v>
      </c>
      <c r="D7">
        <v>7.2800000000000003E-8</v>
      </c>
      <c r="E7">
        <v>5.9999999999999995E-8</v>
      </c>
      <c r="F7" s="1">
        <v>0.187</v>
      </c>
      <c r="G7" s="1">
        <v>0.17580000000000001</v>
      </c>
      <c r="H7" s="1">
        <f t="shared" si="1"/>
        <v>0.94010695187165783</v>
      </c>
      <c r="J7" t="s">
        <v>8</v>
      </c>
      <c r="K7">
        <v>8</v>
      </c>
      <c r="L7">
        <v>0.2</v>
      </c>
      <c r="M7">
        <v>7.2800000000000003E-8</v>
      </c>
      <c r="N7">
        <v>2.9999999999999997E-8</v>
      </c>
      <c r="O7" s="1">
        <v>0.187</v>
      </c>
      <c r="P7" s="1">
        <v>0.58789999999999998</v>
      </c>
      <c r="Q7" s="1">
        <f t="shared" si="2"/>
        <v>3.1438502673796789</v>
      </c>
      <c r="S7" t="s">
        <v>8</v>
      </c>
      <c r="T7">
        <v>8</v>
      </c>
      <c r="U7">
        <v>0.2</v>
      </c>
      <c r="V7">
        <v>7.2800000000000003E-8</v>
      </c>
      <c r="W7">
        <v>1.4000000000000001E-7</v>
      </c>
      <c r="X7" s="1">
        <v>0.187</v>
      </c>
      <c r="Y7" s="1">
        <v>-0.92310000000000003</v>
      </c>
      <c r="Z7" s="1">
        <f t="shared" si="3"/>
        <v>4.9363636363636365</v>
      </c>
      <c r="AB7" t="s">
        <v>8</v>
      </c>
      <c r="AC7">
        <v>8</v>
      </c>
      <c r="AD7">
        <v>0.2</v>
      </c>
      <c r="AE7">
        <v>7.2800000000000003E-8</v>
      </c>
      <c r="AF7">
        <v>5.9999999999999995E-8</v>
      </c>
      <c r="AG7" s="1">
        <v>0.187</v>
      </c>
      <c r="AH7" s="1">
        <v>0.17580000000000001</v>
      </c>
      <c r="AI7" s="1">
        <f t="shared" si="4"/>
        <v>0.94010695187165783</v>
      </c>
      <c r="AT7" s="14">
        <f t="shared" si="0"/>
        <v>0.65061938841769695</v>
      </c>
      <c r="AU7" s="9">
        <f t="shared" si="5"/>
        <v>4.1208791208792485E-3</v>
      </c>
    </row>
    <row r="8" spans="1:47" x14ac:dyDescent="0.35">
      <c r="A8" s="17" t="s">
        <v>9</v>
      </c>
      <c r="B8">
        <v>0.8</v>
      </c>
      <c r="C8">
        <v>0.2</v>
      </c>
      <c r="D8">
        <v>5.4700000000000001E-5</v>
      </c>
      <c r="E8">
        <v>5.5300000000000002E-5</v>
      </c>
      <c r="F8" s="1">
        <v>0.06</v>
      </c>
      <c r="G8" s="1">
        <v>-1.15E-2</v>
      </c>
      <c r="H8" s="1">
        <f t="shared" si="1"/>
        <v>0.19166666666666668</v>
      </c>
      <c r="J8" t="s">
        <v>9</v>
      </c>
      <c r="K8">
        <v>0.8</v>
      </c>
      <c r="L8">
        <v>0.2</v>
      </c>
      <c r="M8">
        <v>5.4700000000000001E-5</v>
      </c>
      <c r="N8">
        <v>5.4200000000000003E-5</v>
      </c>
      <c r="O8" s="1">
        <v>0.06</v>
      </c>
      <c r="P8" s="1">
        <v>8.6E-3</v>
      </c>
      <c r="Q8" s="1">
        <f t="shared" si="2"/>
        <v>0.14333333333333334</v>
      </c>
      <c r="S8" t="s">
        <v>9</v>
      </c>
      <c r="T8">
        <v>0.8</v>
      </c>
      <c r="U8">
        <v>0.2</v>
      </c>
      <c r="V8">
        <v>5.4700000000000001E-5</v>
      </c>
      <c r="W8">
        <v>5.7099999999999999E-5</v>
      </c>
      <c r="X8" s="1">
        <v>0.06</v>
      </c>
      <c r="Y8" s="1">
        <v>-4.3299999999999998E-2</v>
      </c>
      <c r="Z8" s="1">
        <f t="shared" si="3"/>
        <v>0.72166666666666668</v>
      </c>
      <c r="AB8" t="s">
        <v>9</v>
      </c>
      <c r="AC8">
        <v>0.8</v>
      </c>
      <c r="AD8">
        <v>0.2</v>
      </c>
      <c r="AE8">
        <v>5.4700000000000001E-5</v>
      </c>
      <c r="AF8">
        <v>5.3300000000000001E-5</v>
      </c>
      <c r="AG8" s="1">
        <v>0.06</v>
      </c>
      <c r="AH8" s="1">
        <v>2.52E-2</v>
      </c>
      <c r="AI8" s="1">
        <f t="shared" si="4"/>
        <v>0.42000000000000004</v>
      </c>
      <c r="AT8" s="12">
        <f t="shared" si="0"/>
        <v>2.9755297152802694E-2</v>
      </c>
      <c r="AU8" s="7">
        <f t="shared" si="5"/>
        <v>-5.0274223034733664E-3</v>
      </c>
    </row>
    <row r="9" spans="1:47" x14ac:dyDescent="0.35">
      <c r="A9" s="17" t="s">
        <v>9</v>
      </c>
      <c r="B9">
        <v>4</v>
      </c>
      <c r="C9">
        <v>0.2</v>
      </c>
      <c r="D9">
        <v>6.2399999999999998E-7</v>
      </c>
      <c r="E9">
        <v>7.8000000000000005E-7</v>
      </c>
      <c r="F9" s="1">
        <v>0.35499999999999998</v>
      </c>
      <c r="G9" s="1">
        <v>-0.25</v>
      </c>
      <c r="H9" s="1">
        <f t="shared" si="1"/>
        <v>0.70422535211267612</v>
      </c>
      <c r="J9" t="s">
        <v>9</v>
      </c>
      <c r="K9">
        <v>4</v>
      </c>
      <c r="L9">
        <v>0.2</v>
      </c>
      <c r="M9">
        <v>6.2399999999999998E-7</v>
      </c>
      <c r="N9">
        <v>8.4E-7</v>
      </c>
      <c r="O9" s="1">
        <v>0.35499999999999998</v>
      </c>
      <c r="P9" s="1">
        <v>-0.34620000000000001</v>
      </c>
      <c r="Q9" s="1">
        <f t="shared" si="2"/>
        <v>0.97521126760563392</v>
      </c>
      <c r="S9" t="s">
        <v>9</v>
      </c>
      <c r="T9">
        <v>4</v>
      </c>
      <c r="U9">
        <v>0.2</v>
      </c>
      <c r="V9">
        <v>6.2399999999999998E-7</v>
      </c>
      <c r="W9">
        <v>7.0999999999999998E-7</v>
      </c>
      <c r="X9" s="1">
        <v>0.35499999999999998</v>
      </c>
      <c r="Y9" s="1">
        <v>-0.13780000000000001</v>
      </c>
      <c r="Z9" s="1">
        <f t="shared" si="3"/>
        <v>0.3881690140845071</v>
      </c>
      <c r="AB9" t="s">
        <v>9</v>
      </c>
      <c r="AC9">
        <v>4</v>
      </c>
      <c r="AD9">
        <v>0.2</v>
      </c>
      <c r="AE9">
        <v>6.2399999999999998E-7</v>
      </c>
      <c r="AF9">
        <v>1.0300000000000001E-6</v>
      </c>
      <c r="AG9" s="1">
        <v>0.35499999999999998</v>
      </c>
      <c r="AH9" s="1">
        <v>-0.65059999999999996</v>
      </c>
      <c r="AI9" s="1">
        <f t="shared" si="4"/>
        <v>1.8326760563380282</v>
      </c>
      <c r="AT9" s="12">
        <f t="shared" si="0"/>
        <v>0.16351902998441681</v>
      </c>
      <c r="AU9" s="7">
        <f t="shared" si="5"/>
        <v>-0.3461538461538462</v>
      </c>
    </row>
    <row r="10" spans="1:47" x14ac:dyDescent="0.35">
      <c r="A10" s="17" t="s">
        <v>9</v>
      </c>
      <c r="B10">
        <v>8</v>
      </c>
      <c r="C10">
        <v>0.2</v>
      </c>
      <c r="D10">
        <v>4.0199999999999998E-9</v>
      </c>
      <c r="E10">
        <v>0</v>
      </c>
      <c r="F10" s="1">
        <v>0.248</v>
      </c>
      <c r="G10" s="1">
        <v>1</v>
      </c>
      <c r="H10" s="1">
        <f t="shared" si="1"/>
        <v>4.032258064516129</v>
      </c>
      <c r="J10" t="s">
        <v>9</v>
      </c>
      <c r="K10">
        <v>8</v>
      </c>
      <c r="L10">
        <v>0.2</v>
      </c>
      <c r="M10">
        <v>4.0199999999999998E-9</v>
      </c>
      <c r="N10">
        <v>0</v>
      </c>
      <c r="O10" s="1">
        <v>0.248</v>
      </c>
      <c r="P10" s="1">
        <v>1</v>
      </c>
      <c r="Q10" s="1">
        <f t="shared" si="2"/>
        <v>4.032258064516129</v>
      </c>
      <c r="S10" t="s">
        <v>9</v>
      </c>
      <c r="T10">
        <v>8</v>
      </c>
      <c r="U10">
        <v>0.2</v>
      </c>
      <c r="V10">
        <v>4.0199999999999998E-9</v>
      </c>
      <c r="W10">
        <v>0</v>
      </c>
      <c r="X10" s="1">
        <v>0.248</v>
      </c>
      <c r="Y10" s="1">
        <v>1</v>
      </c>
      <c r="Z10" s="1">
        <f t="shared" si="3"/>
        <v>4.032258064516129</v>
      </c>
      <c r="AB10" t="s">
        <v>9</v>
      </c>
      <c r="AC10">
        <v>8</v>
      </c>
      <c r="AD10">
        <v>0.2</v>
      </c>
      <c r="AE10">
        <v>4.0199999999999998E-9</v>
      </c>
      <c r="AF10">
        <v>0</v>
      </c>
      <c r="AG10" s="1">
        <v>0.248</v>
      </c>
      <c r="AH10" s="1">
        <v>1</v>
      </c>
      <c r="AI10" s="1">
        <f t="shared" si="4"/>
        <v>4.032258064516129</v>
      </c>
      <c r="AT10" s="12" t="e">
        <f t="shared" si="0"/>
        <v>#DIV/0!</v>
      </c>
      <c r="AU10" s="7">
        <f t="shared" si="5"/>
        <v>1</v>
      </c>
    </row>
    <row r="11" spans="1:47" x14ac:dyDescent="0.35">
      <c r="A11" s="18" t="s">
        <v>7</v>
      </c>
      <c r="B11" s="2">
        <v>0.1</v>
      </c>
      <c r="C11" s="2">
        <v>0.9</v>
      </c>
      <c r="D11" s="2">
        <v>0.41299999999999998</v>
      </c>
      <c r="E11" s="2">
        <v>0.41399999999999998</v>
      </c>
      <c r="F11" s="3">
        <v>1E-3</v>
      </c>
      <c r="G11" s="3">
        <v>-1.5E-3</v>
      </c>
      <c r="H11" s="1">
        <f t="shared" si="1"/>
        <v>1.5</v>
      </c>
      <c r="J11" t="s">
        <v>7</v>
      </c>
      <c r="K11">
        <v>0.1</v>
      </c>
      <c r="L11">
        <v>0.9</v>
      </c>
      <c r="M11">
        <v>0.41299999999999998</v>
      </c>
      <c r="N11">
        <v>0.41399999999999998</v>
      </c>
      <c r="O11" s="1">
        <v>1E-3</v>
      </c>
      <c r="P11" s="1">
        <v>-1.6000000000000001E-3</v>
      </c>
      <c r="Q11" s="1">
        <f t="shared" si="2"/>
        <v>1.6</v>
      </c>
      <c r="S11" t="s">
        <v>7</v>
      </c>
      <c r="T11">
        <v>0.1</v>
      </c>
      <c r="U11">
        <v>0.9</v>
      </c>
      <c r="V11">
        <v>0.41299999999999998</v>
      </c>
      <c r="W11">
        <v>0.41399999999999998</v>
      </c>
      <c r="X11" s="1">
        <v>1E-3</v>
      </c>
      <c r="Y11" s="1">
        <v>-1.5E-3</v>
      </c>
      <c r="Z11" s="1">
        <f t="shared" si="3"/>
        <v>1.5</v>
      </c>
      <c r="AB11" t="s">
        <v>7</v>
      </c>
      <c r="AC11">
        <v>0.1</v>
      </c>
      <c r="AD11">
        <v>0.9</v>
      </c>
      <c r="AE11">
        <v>0.41299999999999998</v>
      </c>
      <c r="AF11">
        <v>0.41399999999999998</v>
      </c>
      <c r="AG11" s="1">
        <v>1E-3</v>
      </c>
      <c r="AH11" s="1">
        <v>-1.4E-3</v>
      </c>
      <c r="AI11" s="1">
        <f t="shared" si="4"/>
        <v>1.4</v>
      </c>
      <c r="AT11" s="13">
        <f t="shared" si="0"/>
        <v>0</v>
      </c>
      <c r="AU11" s="8">
        <f t="shared" si="5"/>
        <v>-2.421307506053271E-3</v>
      </c>
    </row>
    <row r="12" spans="1:47" x14ac:dyDescent="0.35">
      <c r="A12" s="17" t="s">
        <v>7</v>
      </c>
      <c r="B12">
        <v>0.5</v>
      </c>
      <c r="C12">
        <v>0.9</v>
      </c>
      <c r="D12">
        <v>0.187</v>
      </c>
      <c r="E12">
        <v>0.184</v>
      </c>
      <c r="F12" s="1">
        <v>5.0000000000000001E-3</v>
      </c>
      <c r="G12" s="1">
        <v>1.6400000000000001E-2</v>
      </c>
      <c r="H12" s="1">
        <f t="shared" si="1"/>
        <v>3.2800000000000002</v>
      </c>
      <c r="J12" t="s">
        <v>7</v>
      </c>
      <c r="K12">
        <v>0.5</v>
      </c>
      <c r="L12">
        <v>0.9</v>
      </c>
      <c r="M12">
        <v>0.187</v>
      </c>
      <c r="N12">
        <v>0.184</v>
      </c>
      <c r="O12" s="1">
        <v>5.0000000000000001E-3</v>
      </c>
      <c r="P12" s="1">
        <v>1.6500000000000001E-2</v>
      </c>
      <c r="Q12" s="1">
        <f t="shared" si="2"/>
        <v>3.3000000000000003</v>
      </c>
      <c r="S12" t="s">
        <v>7</v>
      </c>
      <c r="T12">
        <v>0.5</v>
      </c>
      <c r="U12">
        <v>0.9</v>
      </c>
      <c r="V12">
        <v>0.187</v>
      </c>
      <c r="W12">
        <v>0.184</v>
      </c>
      <c r="X12" s="1">
        <v>5.0000000000000001E-3</v>
      </c>
      <c r="Y12" s="1">
        <v>1.6500000000000001E-2</v>
      </c>
      <c r="Z12" s="1">
        <f t="shared" si="3"/>
        <v>3.3000000000000003</v>
      </c>
      <c r="AB12" t="s">
        <v>7</v>
      </c>
      <c r="AC12">
        <v>0.5</v>
      </c>
      <c r="AD12">
        <v>0.9</v>
      </c>
      <c r="AE12">
        <v>0.187</v>
      </c>
      <c r="AF12">
        <v>0.184</v>
      </c>
      <c r="AG12" s="1">
        <v>5.0000000000000001E-3</v>
      </c>
      <c r="AH12" s="1">
        <v>1.6500000000000001E-2</v>
      </c>
      <c r="AI12" s="1">
        <f t="shared" si="4"/>
        <v>3.3000000000000003</v>
      </c>
      <c r="AT12" s="13">
        <f t="shared" si="0"/>
        <v>0</v>
      </c>
      <c r="AU12" s="8">
        <f t="shared" si="5"/>
        <v>1.6042780748663117E-2</v>
      </c>
    </row>
    <row r="13" spans="1:47" x14ac:dyDescent="0.35">
      <c r="A13" s="17" t="s">
        <v>7</v>
      </c>
      <c r="B13">
        <v>1</v>
      </c>
      <c r="C13">
        <v>0.9</v>
      </c>
      <c r="D13">
        <v>6.8500000000000005E-2</v>
      </c>
      <c r="E13">
        <v>6.6199999999999995E-2</v>
      </c>
      <c r="F13" s="1">
        <v>0.01</v>
      </c>
      <c r="G13" s="1">
        <v>3.3500000000000002E-2</v>
      </c>
      <c r="H13" s="1">
        <f t="shared" si="1"/>
        <v>3.35</v>
      </c>
      <c r="J13" t="s">
        <v>7</v>
      </c>
      <c r="K13">
        <v>1</v>
      </c>
      <c r="L13">
        <v>0.9</v>
      </c>
      <c r="M13">
        <v>6.8500000000000005E-2</v>
      </c>
      <c r="N13">
        <v>6.6199999999999995E-2</v>
      </c>
      <c r="O13" s="1">
        <v>0.01</v>
      </c>
      <c r="P13" s="1">
        <v>3.3599999999999998E-2</v>
      </c>
      <c r="Q13" s="1">
        <f t="shared" si="2"/>
        <v>3.36</v>
      </c>
      <c r="S13" t="s">
        <v>7</v>
      </c>
      <c r="T13">
        <v>1</v>
      </c>
      <c r="U13">
        <v>0.9</v>
      </c>
      <c r="V13">
        <v>6.8500000000000005E-2</v>
      </c>
      <c r="W13">
        <v>6.6199999999999995E-2</v>
      </c>
      <c r="X13" s="1">
        <v>0.01</v>
      </c>
      <c r="Y13" s="1">
        <v>3.3799999999999997E-2</v>
      </c>
      <c r="Z13" s="1">
        <f t="shared" si="3"/>
        <v>3.3799999999999994</v>
      </c>
      <c r="AB13" t="s">
        <v>7</v>
      </c>
      <c r="AC13">
        <v>1</v>
      </c>
      <c r="AD13">
        <v>0.9</v>
      </c>
      <c r="AE13">
        <v>6.8500000000000005E-2</v>
      </c>
      <c r="AF13">
        <v>6.6199999999999995E-2</v>
      </c>
      <c r="AG13" s="1">
        <v>0.01</v>
      </c>
      <c r="AH13" s="1">
        <v>3.3500000000000002E-2</v>
      </c>
      <c r="AI13" s="1">
        <f t="shared" si="4"/>
        <v>3.35</v>
      </c>
      <c r="AT13" s="13">
        <f t="shared" si="0"/>
        <v>0</v>
      </c>
      <c r="AU13" s="8">
        <f t="shared" si="5"/>
        <v>3.3576642335766571E-2</v>
      </c>
    </row>
    <row r="14" spans="1:47" x14ac:dyDescent="0.35">
      <c r="A14" s="17" t="s">
        <v>8</v>
      </c>
      <c r="B14">
        <v>0.1</v>
      </c>
      <c r="C14">
        <v>0.9</v>
      </c>
      <c r="D14">
        <v>9.3100000000000002E-2</v>
      </c>
      <c r="E14">
        <v>9.8500000000000004E-2</v>
      </c>
      <c r="F14" s="1">
        <v>2.1000000000000001E-2</v>
      </c>
      <c r="G14" s="1">
        <v>-5.7599999999999998E-2</v>
      </c>
      <c r="H14" s="1">
        <f t="shared" si="1"/>
        <v>2.7428571428571424</v>
      </c>
      <c r="J14" t="s">
        <v>8</v>
      </c>
      <c r="K14">
        <v>0.1</v>
      </c>
      <c r="L14">
        <v>0.9</v>
      </c>
      <c r="M14">
        <v>9.3100000000000002E-2</v>
      </c>
      <c r="N14">
        <v>9.8500000000000004E-2</v>
      </c>
      <c r="O14" s="1">
        <v>2.1000000000000001E-2</v>
      </c>
      <c r="P14" s="1">
        <v>-5.8200000000000002E-2</v>
      </c>
      <c r="Q14" s="1">
        <f t="shared" si="2"/>
        <v>2.7714285714285714</v>
      </c>
      <c r="S14" t="s">
        <v>8</v>
      </c>
      <c r="T14">
        <v>0.1</v>
      </c>
      <c r="U14">
        <v>0.9</v>
      </c>
      <c r="V14">
        <v>9.3100000000000002E-2</v>
      </c>
      <c r="W14">
        <v>9.8500000000000004E-2</v>
      </c>
      <c r="X14" s="1">
        <v>2.1000000000000001E-2</v>
      </c>
      <c r="Y14" s="1">
        <v>-5.7500000000000002E-2</v>
      </c>
      <c r="Z14" s="1">
        <f t="shared" si="3"/>
        <v>2.7380952380952381</v>
      </c>
      <c r="AB14" t="s">
        <v>8</v>
      </c>
      <c r="AC14">
        <v>0.1</v>
      </c>
      <c r="AD14">
        <v>0.9</v>
      </c>
      <c r="AE14">
        <v>9.3100000000000002E-2</v>
      </c>
      <c r="AF14">
        <v>9.8400000000000001E-2</v>
      </c>
      <c r="AG14" s="1">
        <v>2.1000000000000001E-2</v>
      </c>
      <c r="AH14" s="1">
        <v>-5.74E-2</v>
      </c>
      <c r="AI14" s="1">
        <f t="shared" si="4"/>
        <v>2.7333333333333329</v>
      </c>
      <c r="AT14" s="14">
        <f t="shared" si="0"/>
        <v>5.0774308200052221E-4</v>
      </c>
      <c r="AU14" s="9">
        <f t="shared" si="5"/>
        <v>-5.7733619763695003E-2</v>
      </c>
    </row>
    <row r="15" spans="1:47" x14ac:dyDescent="0.35">
      <c r="A15" s="17" t="s">
        <v>8</v>
      </c>
      <c r="B15">
        <v>0.5</v>
      </c>
      <c r="C15">
        <v>0.9</v>
      </c>
      <c r="D15">
        <v>4.6300000000000001E-2</v>
      </c>
      <c r="E15">
        <v>4.7500000000000001E-2</v>
      </c>
      <c r="F15" s="1">
        <v>1.7000000000000001E-2</v>
      </c>
      <c r="G15" s="1">
        <v>-2.5899999999999999E-2</v>
      </c>
      <c r="H15" s="1">
        <f t="shared" si="1"/>
        <v>1.5235294117647058</v>
      </c>
      <c r="J15" t="s">
        <v>8</v>
      </c>
      <c r="K15">
        <v>0.5</v>
      </c>
      <c r="L15">
        <v>0.9</v>
      </c>
      <c r="M15">
        <v>4.6300000000000001E-2</v>
      </c>
      <c r="N15">
        <v>4.7500000000000001E-2</v>
      </c>
      <c r="O15" s="1">
        <v>1.7000000000000001E-2</v>
      </c>
      <c r="P15" s="1">
        <v>-2.5499999999999998E-2</v>
      </c>
      <c r="Q15" s="1">
        <f t="shared" si="2"/>
        <v>1.4999999999999998</v>
      </c>
      <c r="S15" t="s">
        <v>8</v>
      </c>
      <c r="T15">
        <v>0.5</v>
      </c>
      <c r="U15">
        <v>0.9</v>
      </c>
      <c r="V15">
        <v>4.6300000000000001E-2</v>
      </c>
      <c r="W15">
        <v>4.7399999999999998E-2</v>
      </c>
      <c r="X15" s="1">
        <v>1.7000000000000001E-2</v>
      </c>
      <c r="Y15" s="1">
        <v>-2.3900000000000001E-2</v>
      </c>
      <c r="Z15" s="1">
        <f t="shared" si="3"/>
        <v>1.4058823529411764</v>
      </c>
      <c r="AB15" t="s">
        <v>8</v>
      </c>
      <c r="AC15">
        <v>0.5</v>
      </c>
      <c r="AD15">
        <v>0.9</v>
      </c>
      <c r="AE15">
        <v>4.6300000000000001E-2</v>
      </c>
      <c r="AF15">
        <v>4.7500000000000001E-2</v>
      </c>
      <c r="AG15" s="1">
        <v>1.7000000000000001E-2</v>
      </c>
      <c r="AH15" s="1">
        <v>-2.53E-2</v>
      </c>
      <c r="AI15" s="1">
        <f t="shared" si="4"/>
        <v>1.4882352941176469</v>
      </c>
      <c r="AT15" s="14">
        <f t="shared" si="0"/>
        <v>1.0531858873091401E-3</v>
      </c>
      <c r="AU15" s="9">
        <f t="shared" si="5"/>
        <v>-2.5377969762419059E-2</v>
      </c>
    </row>
    <row r="16" spans="1:47" x14ac:dyDescent="0.35">
      <c r="A16" s="17" t="s">
        <v>8</v>
      </c>
      <c r="B16">
        <v>1</v>
      </c>
      <c r="C16">
        <v>0.9</v>
      </c>
      <c r="D16">
        <v>1.6500000000000001E-2</v>
      </c>
      <c r="E16">
        <v>1.6500000000000001E-2</v>
      </c>
      <c r="F16" s="1">
        <v>1.4E-2</v>
      </c>
      <c r="G16" s="1">
        <v>2.3E-3</v>
      </c>
      <c r="H16" s="1">
        <f t="shared" si="1"/>
        <v>0.16428571428571428</v>
      </c>
      <c r="J16" t="s">
        <v>8</v>
      </c>
      <c r="K16">
        <v>1</v>
      </c>
      <c r="L16">
        <v>0.9</v>
      </c>
      <c r="M16">
        <v>1.6500000000000001E-2</v>
      </c>
      <c r="N16">
        <v>1.6500000000000001E-2</v>
      </c>
      <c r="O16" s="1">
        <v>1.4E-2</v>
      </c>
      <c r="P16" s="1">
        <v>-1E-3</v>
      </c>
      <c r="Q16" s="1">
        <f t="shared" si="2"/>
        <v>7.1428571428571425E-2</v>
      </c>
      <c r="S16" t="s">
        <v>8</v>
      </c>
      <c r="T16">
        <v>1</v>
      </c>
      <c r="U16">
        <v>0.9</v>
      </c>
      <c r="V16">
        <v>1.6500000000000001E-2</v>
      </c>
      <c r="W16">
        <v>1.6500000000000001E-2</v>
      </c>
      <c r="X16" s="1">
        <v>1.4E-2</v>
      </c>
      <c r="Y16" s="1">
        <v>-8.0000000000000004E-4</v>
      </c>
      <c r="Z16" s="1">
        <f t="shared" si="3"/>
        <v>5.7142857142857141E-2</v>
      </c>
      <c r="AB16" t="s">
        <v>8</v>
      </c>
      <c r="AC16">
        <v>1</v>
      </c>
      <c r="AD16">
        <v>0.9</v>
      </c>
      <c r="AE16">
        <v>1.6500000000000001E-2</v>
      </c>
      <c r="AF16">
        <v>1.6500000000000001E-2</v>
      </c>
      <c r="AG16" s="1">
        <v>1.4E-2</v>
      </c>
      <c r="AH16" s="1">
        <v>1.8E-3</v>
      </c>
      <c r="AI16" s="1">
        <f t="shared" si="4"/>
        <v>0.12857142857142856</v>
      </c>
      <c r="AT16" s="14">
        <f t="shared" si="0"/>
        <v>0</v>
      </c>
      <c r="AU16" s="9">
        <f t="shared" si="5"/>
        <v>0</v>
      </c>
    </row>
    <row r="17" spans="1:47" x14ac:dyDescent="0.35">
      <c r="A17" s="17" t="s">
        <v>9</v>
      </c>
      <c r="B17">
        <v>0.1</v>
      </c>
      <c r="C17">
        <v>0.9</v>
      </c>
      <c r="D17">
        <v>6.9899999999999997E-3</v>
      </c>
      <c r="E17">
        <v>7.3600000000000002E-3</v>
      </c>
      <c r="F17" s="1">
        <v>6.3E-2</v>
      </c>
      <c r="G17" s="1">
        <v>-5.3499999999999999E-2</v>
      </c>
      <c r="H17" s="1">
        <f t="shared" si="1"/>
        <v>0.84920634920634919</v>
      </c>
      <c r="J17" t="s">
        <v>9</v>
      </c>
      <c r="K17">
        <v>0.1</v>
      </c>
      <c r="L17">
        <v>0.9</v>
      </c>
      <c r="M17">
        <v>6.9899999999999997E-3</v>
      </c>
      <c r="N17">
        <v>7.3899999999999999E-3</v>
      </c>
      <c r="O17" s="1">
        <v>6.3E-2</v>
      </c>
      <c r="P17" s="1">
        <v>-5.7099999999999998E-2</v>
      </c>
      <c r="Q17" s="1">
        <f t="shared" si="2"/>
        <v>0.90634920634920635</v>
      </c>
      <c r="S17" t="s">
        <v>9</v>
      </c>
      <c r="T17">
        <v>0.1</v>
      </c>
      <c r="U17">
        <v>0.9</v>
      </c>
      <c r="V17">
        <v>6.9899999999999997E-3</v>
      </c>
      <c r="W17">
        <v>7.3400000000000002E-3</v>
      </c>
      <c r="X17" s="1">
        <v>6.3E-2</v>
      </c>
      <c r="Y17" s="1">
        <v>-5.0200000000000002E-2</v>
      </c>
      <c r="Z17" s="1">
        <f t="shared" si="3"/>
        <v>0.79682539682539688</v>
      </c>
      <c r="AB17" t="s">
        <v>9</v>
      </c>
      <c r="AC17">
        <v>0.1</v>
      </c>
      <c r="AD17">
        <v>0.9</v>
      </c>
      <c r="AE17">
        <v>6.9899999999999997E-3</v>
      </c>
      <c r="AF17">
        <v>7.3499999999999998E-3</v>
      </c>
      <c r="AG17" s="1">
        <v>6.3E-2</v>
      </c>
      <c r="AH17" s="1">
        <v>-5.1400000000000001E-2</v>
      </c>
      <c r="AI17" s="1">
        <f t="shared" si="4"/>
        <v>0.81587301587301586</v>
      </c>
      <c r="AT17" s="12">
        <f t="shared" si="0"/>
        <v>2.9351180699310857E-3</v>
      </c>
      <c r="AU17" s="7">
        <f t="shared" si="5"/>
        <v>-5.2932761087267605E-2</v>
      </c>
    </row>
    <row r="18" spans="1:47" x14ac:dyDescent="0.35">
      <c r="A18" s="17" t="s">
        <v>9</v>
      </c>
      <c r="B18">
        <v>0.5</v>
      </c>
      <c r="C18">
        <v>0.9</v>
      </c>
      <c r="D18">
        <v>3.29E-3</v>
      </c>
      <c r="E18">
        <v>3.3500000000000001E-3</v>
      </c>
      <c r="F18" s="1">
        <v>5.5E-2</v>
      </c>
      <c r="G18" s="1">
        <v>-1.67E-2</v>
      </c>
      <c r="H18" s="1">
        <f t="shared" si="1"/>
        <v>0.30363636363636365</v>
      </c>
      <c r="J18" t="s">
        <v>9</v>
      </c>
      <c r="K18">
        <v>0.5</v>
      </c>
      <c r="L18">
        <v>0.9</v>
      </c>
      <c r="M18">
        <v>3.29E-3</v>
      </c>
      <c r="N18">
        <v>3.31E-3</v>
      </c>
      <c r="O18" s="1">
        <v>5.5E-2</v>
      </c>
      <c r="P18" s="1">
        <v>-7.1999999999999998E-3</v>
      </c>
      <c r="Q18" s="1">
        <f t="shared" si="2"/>
        <v>0.13090909090909089</v>
      </c>
      <c r="S18" t="s">
        <v>9</v>
      </c>
      <c r="T18">
        <v>0.5</v>
      </c>
      <c r="U18">
        <v>0.9</v>
      </c>
      <c r="V18">
        <v>3.29E-3</v>
      </c>
      <c r="W18">
        <v>3.3300000000000001E-3</v>
      </c>
      <c r="X18" s="1">
        <v>5.5E-2</v>
      </c>
      <c r="Y18" s="1">
        <v>-1.3299999999999999E-2</v>
      </c>
      <c r="Z18" s="1">
        <f t="shared" si="3"/>
        <v>0.24181818181818179</v>
      </c>
      <c r="AB18" t="s">
        <v>9</v>
      </c>
      <c r="AC18">
        <v>0.5</v>
      </c>
      <c r="AD18">
        <v>0.9</v>
      </c>
      <c r="AE18">
        <v>3.29E-3</v>
      </c>
      <c r="AF18">
        <v>3.29E-3</v>
      </c>
      <c r="AG18" s="1">
        <v>5.5E-2</v>
      </c>
      <c r="AH18" s="1">
        <v>1E-4</v>
      </c>
      <c r="AI18" s="1">
        <f t="shared" si="4"/>
        <v>1.8181818181818182E-3</v>
      </c>
      <c r="AT18" s="12">
        <f t="shared" si="0"/>
        <v>7.7770749923843918E-3</v>
      </c>
      <c r="AU18" s="7">
        <f t="shared" si="5"/>
        <v>-9.1185410334346743E-3</v>
      </c>
    </row>
    <row r="19" spans="1:47" x14ac:dyDescent="0.35">
      <c r="A19" s="17" t="s">
        <v>9</v>
      </c>
      <c r="B19">
        <v>1</v>
      </c>
      <c r="C19">
        <v>0.9</v>
      </c>
      <c r="D19">
        <v>1.2099999999999999E-3</v>
      </c>
      <c r="E19">
        <v>1.17E-3</v>
      </c>
      <c r="F19" s="1">
        <v>0.109</v>
      </c>
      <c r="G19" s="1">
        <v>3.1800000000000002E-2</v>
      </c>
      <c r="H19" s="1">
        <f t="shared" si="1"/>
        <v>0.29174311926605506</v>
      </c>
      <c r="J19" t="s">
        <v>9</v>
      </c>
      <c r="K19">
        <v>1</v>
      </c>
      <c r="L19">
        <v>0.9</v>
      </c>
      <c r="M19">
        <v>1.2099999999999999E-3</v>
      </c>
      <c r="N19">
        <v>1.1900000000000001E-3</v>
      </c>
      <c r="O19" s="1">
        <v>0.109</v>
      </c>
      <c r="P19" s="1">
        <v>1.38E-2</v>
      </c>
      <c r="Q19" s="1">
        <f t="shared" si="2"/>
        <v>0.12660550458715597</v>
      </c>
      <c r="S19" t="s">
        <v>9</v>
      </c>
      <c r="T19">
        <v>1</v>
      </c>
      <c r="U19">
        <v>0.9</v>
      </c>
      <c r="V19">
        <v>1.2099999999999999E-3</v>
      </c>
      <c r="W19">
        <v>1.1800000000000001E-3</v>
      </c>
      <c r="X19" s="1">
        <v>0.109</v>
      </c>
      <c r="Y19" s="1">
        <v>2.7699999999999999E-2</v>
      </c>
      <c r="Z19" s="1">
        <f t="shared" si="3"/>
        <v>0.25412844036697246</v>
      </c>
      <c r="AB19" t="s">
        <v>9</v>
      </c>
      <c r="AC19">
        <v>1</v>
      </c>
      <c r="AD19">
        <v>0.9</v>
      </c>
      <c r="AE19">
        <v>1.2099999999999999E-3</v>
      </c>
      <c r="AF19">
        <v>1.1800000000000001E-3</v>
      </c>
      <c r="AG19" s="1">
        <v>0.109</v>
      </c>
      <c r="AH19" s="1">
        <v>2.18E-2</v>
      </c>
      <c r="AI19" s="1">
        <f t="shared" si="4"/>
        <v>0.2</v>
      </c>
      <c r="AT19" s="12">
        <f>STDEV(AO19,AF19,W19,N19,E19)/ AVERAGE(AO19,AF19,W19,N19,E19)</f>
        <v>6.9194625502349847E-3</v>
      </c>
      <c r="AU19" s="7">
        <f t="shared" si="5"/>
        <v>2.4793388429751952E-2</v>
      </c>
    </row>
    <row r="20" spans="1:47" x14ac:dyDescent="0.35">
      <c r="A20" s="6" t="s">
        <v>11</v>
      </c>
      <c r="B20" s="6"/>
      <c r="C20" s="6"/>
      <c r="D20" s="6"/>
      <c r="E20" s="6"/>
      <c r="F20" s="6"/>
      <c r="G20" s="6"/>
      <c r="H20" s="6"/>
      <c r="AN20" s="6" t="s">
        <v>11</v>
      </c>
      <c r="AO20" s="6"/>
      <c r="AP20" s="6"/>
      <c r="AQ20" s="6"/>
      <c r="AR20" s="6"/>
      <c r="AS20" s="6"/>
      <c r="AT20" s="6"/>
      <c r="AU20" s="6"/>
    </row>
    <row r="21" spans="1:47" x14ac:dyDescent="0.35">
      <c r="A21" s="17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t="s">
        <v>6</v>
      </c>
      <c r="J21" t="s">
        <v>0</v>
      </c>
      <c r="K21" t="s">
        <v>1</v>
      </c>
      <c r="L21" t="s">
        <v>2</v>
      </c>
      <c r="M21" t="s">
        <v>3</v>
      </c>
      <c r="N21" t="s">
        <v>4</v>
      </c>
      <c r="O21" t="s">
        <v>5</v>
      </c>
      <c r="P21" t="s">
        <v>6</v>
      </c>
      <c r="S21" t="s">
        <v>0</v>
      </c>
      <c r="T21" t="s">
        <v>1</v>
      </c>
      <c r="U21" t="s">
        <v>2</v>
      </c>
      <c r="V21" t="s">
        <v>3</v>
      </c>
      <c r="W21" t="s">
        <v>4</v>
      </c>
      <c r="X21" t="s">
        <v>5</v>
      </c>
      <c r="Y21" t="s">
        <v>6</v>
      </c>
      <c r="AB21" t="s">
        <v>0</v>
      </c>
      <c r="AC21" t="s">
        <v>1</v>
      </c>
      <c r="AD21" t="s">
        <v>2</v>
      </c>
      <c r="AE21" t="s">
        <v>3</v>
      </c>
      <c r="AF21" t="s">
        <v>4</v>
      </c>
      <c r="AG21" t="s">
        <v>5</v>
      </c>
      <c r="AH21" t="s">
        <v>6</v>
      </c>
      <c r="AK21" t="s">
        <v>0</v>
      </c>
      <c r="AL21" t="s">
        <v>1</v>
      </c>
      <c r="AM21" t="s">
        <v>2</v>
      </c>
      <c r="AN21" t="s">
        <v>3</v>
      </c>
      <c r="AO21" t="s">
        <v>4</v>
      </c>
      <c r="AP21" t="s">
        <v>5</v>
      </c>
      <c r="AQ21" t="s">
        <v>6</v>
      </c>
    </row>
    <row r="22" spans="1:47" x14ac:dyDescent="0.35">
      <c r="A22" s="17" t="s">
        <v>7</v>
      </c>
      <c r="B22">
        <v>0.8</v>
      </c>
      <c r="C22">
        <v>0.2</v>
      </c>
      <c r="D22">
        <v>0.16200000000000001</v>
      </c>
      <c r="E22">
        <v>0.16200000000000001</v>
      </c>
      <c r="F22" s="1">
        <v>0</v>
      </c>
      <c r="G22" s="1">
        <v>6.9999999999999999E-4</v>
      </c>
      <c r="H22" s="1" t="e">
        <f>ABS(G22/F22)</f>
        <v>#DIV/0!</v>
      </c>
      <c r="J22" t="s">
        <v>7</v>
      </c>
      <c r="K22">
        <v>0.8</v>
      </c>
      <c r="L22">
        <v>0.2</v>
      </c>
      <c r="M22">
        <v>0.16200000000000001</v>
      </c>
      <c r="N22">
        <v>0.16200000000000001</v>
      </c>
      <c r="O22" s="1">
        <v>0</v>
      </c>
      <c r="P22" s="1">
        <v>8.9999999999999998E-4</v>
      </c>
      <c r="Q22" s="1" t="e">
        <f>ABS(P22/O22)</f>
        <v>#DIV/0!</v>
      </c>
      <c r="S22" t="s">
        <v>7</v>
      </c>
      <c r="T22">
        <v>0.8</v>
      </c>
      <c r="U22">
        <v>0.2</v>
      </c>
      <c r="V22">
        <v>0.16200000000000001</v>
      </c>
      <c r="W22">
        <v>0.16200000000000001</v>
      </c>
      <c r="X22" s="1">
        <v>0</v>
      </c>
      <c r="Y22" s="1">
        <v>6.9999999999999999E-4</v>
      </c>
      <c r="Z22" s="1" t="e">
        <f>ABS(Y22/X22)</f>
        <v>#DIV/0!</v>
      </c>
      <c r="AB22" t="s">
        <v>7</v>
      </c>
      <c r="AC22">
        <v>0.8</v>
      </c>
      <c r="AD22">
        <v>0.2</v>
      </c>
      <c r="AE22">
        <v>0.16200000000000001</v>
      </c>
      <c r="AF22">
        <v>0.16200000000000001</v>
      </c>
      <c r="AG22" s="1">
        <v>0</v>
      </c>
      <c r="AH22" s="1">
        <v>6.9999999999999999E-4</v>
      </c>
      <c r="AI22" s="1" t="e">
        <f>ABS(AH22/AG22)</f>
        <v>#DIV/0!</v>
      </c>
      <c r="AK22" t="s">
        <v>7</v>
      </c>
      <c r="AL22">
        <v>0.8</v>
      </c>
      <c r="AM22">
        <v>0.2</v>
      </c>
      <c r="AN22">
        <v>0.16200000000000001</v>
      </c>
      <c r="AO22">
        <v>0.16200000000000001</v>
      </c>
      <c r="AP22" s="1">
        <v>0</v>
      </c>
      <c r="AQ22" s="1">
        <v>5.0000000000000001E-4</v>
      </c>
      <c r="AR22" s="1" t="e">
        <f>ABS(AQ22/AP22)</f>
        <v>#DIV/0!</v>
      </c>
      <c r="AT22" s="13">
        <f t="shared" ref="AT22:AT38" si="6">STDEV(AO22,AF22,W22,N22,E22)/ AVERAGE(AO22,AF22,W22,N22,E22)</f>
        <v>0</v>
      </c>
      <c r="AU22" s="8">
        <f>( D22 - AVERAGE(AO22,AF22,W22,N22,E22))/ D22</f>
        <v>0</v>
      </c>
    </row>
    <row r="23" spans="1:47" x14ac:dyDescent="0.35">
      <c r="A23" s="17" t="s">
        <v>7</v>
      </c>
      <c r="B23">
        <v>4</v>
      </c>
      <c r="C23">
        <v>0.2</v>
      </c>
      <c r="D23">
        <v>2.2699999999999999E-3</v>
      </c>
      <c r="E23">
        <v>2.2699999999999999E-3</v>
      </c>
      <c r="F23" s="1">
        <v>2E-3</v>
      </c>
      <c r="G23" s="1">
        <v>2.0999999999999999E-3</v>
      </c>
      <c r="H23" s="1">
        <f t="shared" ref="H23:H39" si="7">ABS(G23/F23)</f>
        <v>1.0499999999999998</v>
      </c>
      <c r="J23" t="s">
        <v>7</v>
      </c>
      <c r="K23">
        <v>4</v>
      </c>
      <c r="L23">
        <v>0.2</v>
      </c>
      <c r="M23">
        <v>2.2699999999999999E-3</v>
      </c>
      <c r="N23">
        <v>2.2599999999999999E-3</v>
      </c>
      <c r="O23" s="1">
        <v>2E-3</v>
      </c>
      <c r="P23" s="1">
        <v>3.0999999999999999E-3</v>
      </c>
      <c r="Q23" s="1">
        <f t="shared" ref="Q23:Q39" si="8">ABS(P23/O23)</f>
        <v>1.5499999999999998</v>
      </c>
      <c r="S23" t="s">
        <v>7</v>
      </c>
      <c r="T23">
        <v>4</v>
      </c>
      <c r="U23">
        <v>0.2</v>
      </c>
      <c r="V23">
        <v>2.2699999999999999E-3</v>
      </c>
      <c r="W23">
        <v>2.2599999999999999E-3</v>
      </c>
      <c r="X23" s="1">
        <v>2E-3</v>
      </c>
      <c r="Y23" s="1">
        <v>4.7000000000000002E-3</v>
      </c>
      <c r="Z23" s="1">
        <f t="shared" ref="Z23:Z39" si="9">ABS(Y23/X23)</f>
        <v>2.35</v>
      </c>
      <c r="AB23" t="s">
        <v>7</v>
      </c>
      <c r="AC23">
        <v>4</v>
      </c>
      <c r="AD23">
        <v>0.2</v>
      </c>
      <c r="AE23">
        <v>2.2699999999999999E-3</v>
      </c>
      <c r="AF23">
        <v>2.2599999999999999E-3</v>
      </c>
      <c r="AG23" s="1">
        <v>2E-3</v>
      </c>
      <c r="AH23" s="1">
        <v>2.8E-3</v>
      </c>
      <c r="AI23" s="1">
        <f t="shared" ref="AI23:AI39" si="10">ABS(AH23/AG23)</f>
        <v>1.4</v>
      </c>
      <c r="AK23" t="s">
        <v>7</v>
      </c>
      <c r="AL23">
        <v>4</v>
      </c>
      <c r="AM23">
        <v>0.2</v>
      </c>
      <c r="AN23">
        <v>2.2699999999999999E-3</v>
      </c>
      <c r="AO23">
        <v>2.2699999999999999E-3</v>
      </c>
      <c r="AP23" s="1">
        <v>2E-3</v>
      </c>
      <c r="AQ23" s="1">
        <v>2.0999999999999999E-3</v>
      </c>
      <c r="AR23" s="1">
        <f t="shared" ref="AR23:AR39" si="11">ABS(AQ23/AP23)</f>
        <v>1.0499999999999998</v>
      </c>
      <c r="AT23" s="13">
        <f t="shared" si="6"/>
        <v>2.4192692469309522E-3</v>
      </c>
      <c r="AU23" s="8">
        <f t="shared" ref="AU23:AU39" si="12">( D23 - AVERAGE(AO23,AF23,W23,N23,E23))/ D23</f>
        <v>2.6431718061675608E-3</v>
      </c>
    </row>
    <row r="24" spans="1:47" x14ac:dyDescent="0.35">
      <c r="A24" s="17" t="s">
        <v>7</v>
      </c>
      <c r="B24">
        <v>8</v>
      </c>
      <c r="C24">
        <v>0.2</v>
      </c>
      <c r="D24">
        <v>1.2999999999999999E-5</v>
      </c>
      <c r="E24">
        <v>1.34E-5</v>
      </c>
      <c r="F24" s="1">
        <v>4.7E-2</v>
      </c>
      <c r="G24" s="1">
        <v>-2.69E-2</v>
      </c>
      <c r="H24" s="1">
        <f t="shared" si="7"/>
        <v>0.57234042553191489</v>
      </c>
      <c r="J24" t="s">
        <v>7</v>
      </c>
      <c r="K24">
        <v>8</v>
      </c>
      <c r="L24">
        <v>0.2</v>
      </c>
      <c r="M24">
        <v>1.2999999999999999E-5</v>
      </c>
      <c r="N24">
        <v>1.26E-5</v>
      </c>
      <c r="O24" s="1">
        <v>4.7E-2</v>
      </c>
      <c r="P24" s="1">
        <v>2.69E-2</v>
      </c>
      <c r="Q24" s="1">
        <f t="shared" si="8"/>
        <v>0.57234042553191489</v>
      </c>
      <c r="S24" t="s">
        <v>7</v>
      </c>
      <c r="T24">
        <v>8</v>
      </c>
      <c r="U24">
        <v>0.2</v>
      </c>
      <c r="V24">
        <v>1.2999999999999999E-5</v>
      </c>
      <c r="W24">
        <v>1.27E-5</v>
      </c>
      <c r="X24" s="1">
        <v>4.7E-2</v>
      </c>
      <c r="Y24" s="1">
        <v>2.3099999999999999E-2</v>
      </c>
      <c r="Z24" s="1">
        <f t="shared" si="9"/>
        <v>0.49148936170212765</v>
      </c>
      <c r="AB24" t="s">
        <v>7</v>
      </c>
      <c r="AC24">
        <v>8</v>
      </c>
      <c r="AD24">
        <v>0.2</v>
      </c>
      <c r="AE24">
        <v>1.2999999999999999E-5</v>
      </c>
      <c r="AF24">
        <v>1.31E-5</v>
      </c>
      <c r="AG24" s="1">
        <v>4.7E-2</v>
      </c>
      <c r="AH24" s="1">
        <v>-6.1999999999999998E-3</v>
      </c>
      <c r="AI24" s="1">
        <f t="shared" si="10"/>
        <v>0.13191489361702127</v>
      </c>
      <c r="AK24" t="s">
        <v>7</v>
      </c>
      <c r="AL24">
        <v>8</v>
      </c>
      <c r="AM24">
        <v>0.2</v>
      </c>
      <c r="AN24">
        <v>1.2999999999999999E-5</v>
      </c>
      <c r="AO24">
        <v>1.2799999999999999E-5</v>
      </c>
      <c r="AP24" s="1">
        <v>4.7E-2</v>
      </c>
      <c r="AQ24" s="1">
        <v>1.46E-2</v>
      </c>
      <c r="AR24" s="1">
        <f t="shared" si="11"/>
        <v>0.31063829787234043</v>
      </c>
      <c r="AT24" s="13">
        <f t="shared" si="6"/>
        <v>2.5317998813925911E-2</v>
      </c>
      <c r="AU24" s="8">
        <f t="shared" si="12"/>
        <v>6.1538461538460957E-3</v>
      </c>
    </row>
    <row r="25" spans="1:47" x14ac:dyDescent="0.35">
      <c r="A25" s="17" t="s">
        <v>8</v>
      </c>
      <c r="B25">
        <v>0.8</v>
      </c>
      <c r="C25">
        <v>0.2</v>
      </c>
      <c r="D25">
        <v>9.6599999999999995E-4</v>
      </c>
      <c r="E25">
        <v>9.3599999999999998E-4</v>
      </c>
      <c r="F25" s="1">
        <v>2.3E-2</v>
      </c>
      <c r="G25" s="1">
        <v>3.1399999999999997E-2</v>
      </c>
      <c r="H25" s="1">
        <f t="shared" si="7"/>
        <v>1.3652173913043477</v>
      </c>
      <c r="J25" t="s">
        <v>8</v>
      </c>
      <c r="K25">
        <v>0.8</v>
      </c>
      <c r="L25">
        <v>0.2</v>
      </c>
      <c r="M25">
        <v>9.6599999999999995E-4</v>
      </c>
      <c r="N25">
        <v>9.1600000000000004E-4</v>
      </c>
      <c r="O25" s="1">
        <v>2.3E-2</v>
      </c>
      <c r="P25" s="1">
        <v>5.16E-2</v>
      </c>
      <c r="Q25" s="1">
        <f t="shared" si="8"/>
        <v>2.2434782608695651</v>
      </c>
      <c r="S25" t="s">
        <v>8</v>
      </c>
      <c r="T25">
        <v>0.8</v>
      </c>
      <c r="U25">
        <v>0.2</v>
      </c>
      <c r="V25">
        <v>9.6599999999999995E-4</v>
      </c>
      <c r="W25">
        <v>9.1799999999999998E-4</v>
      </c>
      <c r="X25" s="1">
        <v>2.3E-2</v>
      </c>
      <c r="Y25" s="1">
        <v>4.99E-2</v>
      </c>
      <c r="Z25" s="1">
        <f t="shared" si="9"/>
        <v>2.1695652173913045</v>
      </c>
      <c r="AB25" t="s">
        <v>8</v>
      </c>
      <c r="AC25">
        <v>0.8</v>
      </c>
      <c r="AD25">
        <v>0.2</v>
      </c>
      <c r="AE25">
        <v>9.6599999999999995E-4</v>
      </c>
      <c r="AF25">
        <v>9.2800000000000001E-4</v>
      </c>
      <c r="AG25" s="1">
        <v>2.3E-2</v>
      </c>
      <c r="AH25" s="1">
        <v>3.9699999999999999E-2</v>
      </c>
      <c r="AI25" s="1">
        <f t="shared" si="10"/>
        <v>1.7260869565217392</v>
      </c>
      <c r="AK25" t="s">
        <v>8</v>
      </c>
      <c r="AL25">
        <v>0.8</v>
      </c>
      <c r="AM25">
        <v>0.2</v>
      </c>
      <c r="AN25">
        <v>9.6599999999999995E-4</v>
      </c>
      <c r="AO25">
        <v>9.2900000000000003E-4</v>
      </c>
      <c r="AP25" s="1">
        <v>2.3E-2</v>
      </c>
      <c r="AQ25" s="1">
        <v>3.85E-2</v>
      </c>
      <c r="AR25" s="1">
        <f t="shared" si="11"/>
        <v>1.673913043478261</v>
      </c>
      <c r="AT25" s="14">
        <f t="shared" si="6"/>
        <v>8.9632337814254167E-3</v>
      </c>
      <c r="AU25" s="9">
        <f t="shared" si="12"/>
        <v>4.2028985507246278E-2</v>
      </c>
    </row>
    <row r="26" spans="1:47" x14ac:dyDescent="0.35">
      <c r="A26" s="17" t="s">
        <v>8</v>
      </c>
      <c r="B26">
        <v>4</v>
      </c>
      <c r="C26">
        <v>0.2</v>
      </c>
      <c r="D26">
        <v>1.3699999999999999E-5</v>
      </c>
      <c r="E26">
        <v>1.2799999999999999E-5</v>
      </c>
      <c r="F26" s="1">
        <v>6.3E-2</v>
      </c>
      <c r="G26" s="1">
        <v>6.7900000000000002E-2</v>
      </c>
      <c r="H26" s="1">
        <f t="shared" si="7"/>
        <v>1.0777777777777777</v>
      </c>
      <c r="J26" t="s">
        <v>8</v>
      </c>
      <c r="K26">
        <v>4</v>
      </c>
      <c r="L26">
        <v>0.2</v>
      </c>
      <c r="M26">
        <v>1.3699999999999999E-5</v>
      </c>
      <c r="N26">
        <v>1.15E-5</v>
      </c>
      <c r="O26" s="1">
        <v>6.3E-2</v>
      </c>
      <c r="P26" s="1">
        <v>0.16059999999999999</v>
      </c>
      <c r="Q26" s="1">
        <f t="shared" si="8"/>
        <v>2.549206349206349</v>
      </c>
      <c r="S26" t="s">
        <v>8</v>
      </c>
      <c r="T26">
        <v>4</v>
      </c>
      <c r="U26">
        <v>0.2</v>
      </c>
      <c r="V26">
        <v>1.3699999999999999E-5</v>
      </c>
      <c r="W26">
        <v>1.2300000000000001E-5</v>
      </c>
      <c r="X26" s="1">
        <v>6.3E-2</v>
      </c>
      <c r="Y26" s="1">
        <v>0.1036</v>
      </c>
      <c r="Z26" s="1">
        <f t="shared" si="9"/>
        <v>1.6444444444444444</v>
      </c>
      <c r="AB26" t="s">
        <v>8</v>
      </c>
      <c r="AC26">
        <v>4</v>
      </c>
      <c r="AD26">
        <v>0.2</v>
      </c>
      <c r="AE26">
        <v>1.3699999999999999E-5</v>
      </c>
      <c r="AF26">
        <v>1.5E-5</v>
      </c>
      <c r="AG26" s="1">
        <v>6.3E-2</v>
      </c>
      <c r="AH26" s="1">
        <v>-9.1999999999999998E-2</v>
      </c>
      <c r="AI26" s="1">
        <f t="shared" si="10"/>
        <v>1.4603174603174602</v>
      </c>
      <c r="AK26" t="s">
        <v>8</v>
      </c>
      <c r="AL26">
        <v>4</v>
      </c>
      <c r="AM26">
        <v>0.2</v>
      </c>
      <c r="AN26">
        <v>1.3699999999999999E-5</v>
      </c>
      <c r="AO26">
        <v>1.2799999999999999E-5</v>
      </c>
      <c r="AP26" s="1">
        <v>6.3E-2</v>
      </c>
      <c r="AQ26" s="1">
        <v>6.5699999999999995E-2</v>
      </c>
      <c r="AR26" s="1">
        <f t="shared" si="11"/>
        <v>1.0428571428571427</v>
      </c>
      <c r="AT26" s="14">
        <f t="shared" si="6"/>
        <v>0.10084205289823399</v>
      </c>
      <c r="AU26" s="9">
        <f t="shared" si="12"/>
        <v>5.9854014598540194E-2</v>
      </c>
    </row>
    <row r="27" spans="1:47" x14ac:dyDescent="0.35">
      <c r="A27" s="17" t="s">
        <v>8</v>
      </c>
      <c r="B27">
        <v>8</v>
      </c>
      <c r="C27">
        <v>0.2</v>
      </c>
      <c r="D27">
        <v>7.2800000000000003E-8</v>
      </c>
      <c r="E27">
        <v>2E-8</v>
      </c>
      <c r="F27" s="1">
        <v>0.187</v>
      </c>
      <c r="G27" s="1">
        <v>0.72529999999999994</v>
      </c>
      <c r="H27" s="1">
        <f t="shared" si="7"/>
        <v>3.878609625668449</v>
      </c>
      <c r="J27" t="s">
        <v>8</v>
      </c>
      <c r="K27">
        <v>8</v>
      </c>
      <c r="L27">
        <v>0.2</v>
      </c>
      <c r="M27">
        <v>7.2800000000000003E-8</v>
      </c>
      <c r="N27">
        <v>1E-8</v>
      </c>
      <c r="O27" s="1">
        <v>0.187</v>
      </c>
      <c r="P27" s="1">
        <v>0.86260000000000003</v>
      </c>
      <c r="Q27" s="1">
        <f t="shared" si="8"/>
        <v>4.6128342245989309</v>
      </c>
      <c r="S27" t="s">
        <v>8</v>
      </c>
      <c r="T27">
        <v>8</v>
      </c>
      <c r="U27">
        <v>0.2</v>
      </c>
      <c r="V27">
        <v>7.2800000000000003E-8</v>
      </c>
      <c r="W27">
        <v>3.8000000000000001E-7</v>
      </c>
      <c r="X27" s="1">
        <v>0.187</v>
      </c>
      <c r="Y27" s="1">
        <v>-4.2198000000000002</v>
      </c>
      <c r="Z27" s="1">
        <f t="shared" si="9"/>
        <v>22.565775401069519</v>
      </c>
      <c r="AB27" t="s">
        <v>8</v>
      </c>
      <c r="AC27">
        <v>8</v>
      </c>
      <c r="AD27">
        <v>0.2</v>
      </c>
      <c r="AE27">
        <v>7.2800000000000003E-8</v>
      </c>
      <c r="AF27">
        <v>4.0000000000000001E-8</v>
      </c>
      <c r="AG27" s="1">
        <v>0.187</v>
      </c>
      <c r="AH27" s="1">
        <v>0.45050000000000001</v>
      </c>
      <c r="AI27" s="1">
        <f t="shared" si="10"/>
        <v>2.4090909090909092</v>
      </c>
      <c r="AK27" t="s">
        <v>8</v>
      </c>
      <c r="AL27">
        <v>8</v>
      </c>
      <c r="AM27">
        <v>0.2</v>
      </c>
      <c r="AN27">
        <v>7.2800000000000003E-8</v>
      </c>
      <c r="AO27">
        <v>5.9999999999999995E-8</v>
      </c>
      <c r="AP27" s="1">
        <v>0.187</v>
      </c>
      <c r="AQ27" s="1">
        <v>0.17580000000000001</v>
      </c>
      <c r="AR27" s="1">
        <f t="shared" si="11"/>
        <v>0.94010695187165783</v>
      </c>
      <c r="AT27" s="14">
        <f t="shared" si="6"/>
        <v>1.5351826769461479</v>
      </c>
      <c r="AU27" s="9">
        <f t="shared" si="12"/>
        <v>-0.40109890109890123</v>
      </c>
    </row>
    <row r="28" spans="1:47" x14ac:dyDescent="0.35">
      <c r="A28" s="17" t="s">
        <v>9</v>
      </c>
      <c r="B28">
        <v>0.8</v>
      </c>
      <c r="C28">
        <v>0.2</v>
      </c>
      <c r="D28">
        <v>5.4700000000000001E-5</v>
      </c>
      <c r="E28">
        <v>6.0999999999999999E-5</v>
      </c>
      <c r="F28" s="1">
        <v>0.06</v>
      </c>
      <c r="G28" s="1">
        <v>-0.1154</v>
      </c>
      <c r="H28" s="1">
        <f t="shared" si="7"/>
        <v>1.9233333333333333</v>
      </c>
      <c r="J28" t="s">
        <v>9</v>
      </c>
      <c r="K28">
        <v>0.8</v>
      </c>
      <c r="L28">
        <v>0.2</v>
      </c>
      <c r="M28">
        <v>5.4700000000000001E-5</v>
      </c>
      <c r="N28">
        <v>6.1799999999999998E-5</v>
      </c>
      <c r="O28" s="1">
        <v>0.06</v>
      </c>
      <c r="P28" s="1">
        <v>-0.1298</v>
      </c>
      <c r="Q28" s="1">
        <f t="shared" si="8"/>
        <v>2.1633333333333336</v>
      </c>
      <c r="S28" t="s">
        <v>9</v>
      </c>
      <c r="T28">
        <v>0.8</v>
      </c>
      <c r="U28">
        <v>0.2</v>
      </c>
      <c r="V28">
        <v>5.4700000000000001E-5</v>
      </c>
      <c r="W28">
        <v>6.0600000000000003E-5</v>
      </c>
      <c r="X28" s="1">
        <v>0.06</v>
      </c>
      <c r="Y28" s="1">
        <v>-0.108</v>
      </c>
      <c r="Z28" s="1">
        <f t="shared" si="9"/>
        <v>1.8</v>
      </c>
      <c r="AB28" t="s">
        <v>9</v>
      </c>
      <c r="AC28">
        <v>0.8</v>
      </c>
      <c r="AD28">
        <v>0.2</v>
      </c>
      <c r="AE28">
        <v>5.4700000000000001E-5</v>
      </c>
      <c r="AF28">
        <v>6.0099999999999997E-5</v>
      </c>
      <c r="AG28" s="1">
        <v>0.06</v>
      </c>
      <c r="AH28" s="1">
        <v>-9.8199999999999996E-2</v>
      </c>
      <c r="AI28" s="1">
        <f t="shared" si="10"/>
        <v>1.6366666666666667</v>
      </c>
      <c r="AK28" t="s">
        <v>9</v>
      </c>
      <c r="AL28">
        <v>0.8</v>
      </c>
      <c r="AM28">
        <v>0.2</v>
      </c>
      <c r="AN28">
        <v>5.4700000000000001E-5</v>
      </c>
      <c r="AO28">
        <v>6.0300000000000002E-5</v>
      </c>
      <c r="AP28" s="1">
        <v>0.06</v>
      </c>
      <c r="AQ28" s="1">
        <v>-0.1024</v>
      </c>
      <c r="AR28" s="1">
        <f t="shared" si="11"/>
        <v>1.7066666666666668</v>
      </c>
      <c r="AT28" s="12">
        <f t="shared" si="6"/>
        <v>1.1077234147770783E-2</v>
      </c>
      <c r="AU28" s="7">
        <f t="shared" si="12"/>
        <v>-0.11078610603290676</v>
      </c>
    </row>
    <row r="29" spans="1:47" x14ac:dyDescent="0.35">
      <c r="A29" s="17" t="s">
        <v>9</v>
      </c>
      <c r="B29">
        <v>4</v>
      </c>
      <c r="C29">
        <v>0.2</v>
      </c>
      <c r="D29">
        <v>6.2399999999999998E-7</v>
      </c>
      <c r="E29">
        <v>8.1999999999999998E-7</v>
      </c>
      <c r="F29" s="1">
        <v>0.35499999999999998</v>
      </c>
      <c r="G29" s="1">
        <v>-0.31409999999999999</v>
      </c>
      <c r="H29" s="1">
        <f t="shared" si="7"/>
        <v>0.88478873239436617</v>
      </c>
      <c r="J29" t="s">
        <v>9</v>
      </c>
      <c r="K29">
        <v>4</v>
      </c>
      <c r="L29">
        <v>0.2</v>
      </c>
      <c r="M29">
        <v>6.2399999999999998E-7</v>
      </c>
      <c r="N29">
        <v>7.9999999999999996E-7</v>
      </c>
      <c r="O29" s="1">
        <v>0.35499999999999998</v>
      </c>
      <c r="P29" s="1">
        <v>-0.28210000000000002</v>
      </c>
      <c r="Q29" s="1">
        <f t="shared" si="8"/>
        <v>0.79464788732394376</v>
      </c>
      <c r="S29" t="s">
        <v>9</v>
      </c>
      <c r="T29">
        <v>4</v>
      </c>
      <c r="U29">
        <v>0.2</v>
      </c>
      <c r="V29">
        <v>6.2399999999999998E-7</v>
      </c>
      <c r="W29">
        <v>8.8999999999999995E-7</v>
      </c>
      <c r="X29" s="1">
        <v>0.35499999999999998</v>
      </c>
      <c r="Y29" s="1">
        <v>-0.42630000000000001</v>
      </c>
      <c r="Z29" s="1">
        <f t="shared" si="9"/>
        <v>1.2008450704225353</v>
      </c>
      <c r="AB29" t="s">
        <v>9</v>
      </c>
      <c r="AC29">
        <v>4</v>
      </c>
      <c r="AD29">
        <v>0.2</v>
      </c>
      <c r="AE29">
        <v>6.2399999999999998E-7</v>
      </c>
      <c r="AF29">
        <v>9.5000000000000001E-7</v>
      </c>
      <c r="AG29" s="1">
        <v>0.35499999999999998</v>
      </c>
      <c r="AH29" s="1">
        <v>-0.52239999999999998</v>
      </c>
      <c r="AI29" s="1">
        <f t="shared" si="10"/>
        <v>1.4715492957746479</v>
      </c>
      <c r="AK29" t="s">
        <v>9</v>
      </c>
      <c r="AL29">
        <v>4</v>
      </c>
      <c r="AM29">
        <v>0.2</v>
      </c>
      <c r="AN29">
        <v>6.2399999999999998E-7</v>
      </c>
      <c r="AO29">
        <v>7.6000000000000003E-7</v>
      </c>
      <c r="AP29" s="1">
        <v>0.35499999999999998</v>
      </c>
      <c r="AQ29" s="1">
        <v>-0.21790000000000001</v>
      </c>
      <c r="AR29" s="1">
        <f t="shared" si="11"/>
        <v>0.61380281690140848</v>
      </c>
      <c r="AT29" s="12">
        <f t="shared" si="6"/>
        <v>8.968810837808322E-2</v>
      </c>
      <c r="AU29" s="7">
        <f t="shared" si="12"/>
        <v>-0.35256410256410275</v>
      </c>
    </row>
    <row r="30" spans="1:47" x14ac:dyDescent="0.35">
      <c r="A30" s="17" t="s">
        <v>9</v>
      </c>
      <c r="B30">
        <v>8</v>
      </c>
      <c r="C30">
        <v>0.2</v>
      </c>
      <c r="D30">
        <v>4.0199999999999998E-9</v>
      </c>
      <c r="E30">
        <v>0</v>
      </c>
      <c r="F30" s="1">
        <v>0.248</v>
      </c>
      <c r="G30" s="1">
        <v>1</v>
      </c>
      <c r="H30" s="1">
        <f t="shared" si="7"/>
        <v>4.032258064516129</v>
      </c>
      <c r="J30" t="s">
        <v>9</v>
      </c>
      <c r="K30">
        <v>8</v>
      </c>
      <c r="L30">
        <v>0.2</v>
      </c>
      <c r="M30">
        <v>4.0199999999999998E-9</v>
      </c>
      <c r="N30">
        <v>0</v>
      </c>
      <c r="O30" s="1">
        <v>0.248</v>
      </c>
      <c r="P30" s="1">
        <v>1</v>
      </c>
      <c r="Q30" s="1">
        <f t="shared" si="8"/>
        <v>4.032258064516129</v>
      </c>
      <c r="S30" t="s">
        <v>9</v>
      </c>
      <c r="T30">
        <v>8</v>
      </c>
      <c r="U30">
        <v>0.2</v>
      </c>
      <c r="V30">
        <v>4.0199999999999998E-9</v>
      </c>
      <c r="W30">
        <v>0</v>
      </c>
      <c r="X30" s="1">
        <v>0.248</v>
      </c>
      <c r="Y30" s="1">
        <v>1</v>
      </c>
      <c r="Z30" s="1">
        <f t="shared" si="9"/>
        <v>4.032258064516129</v>
      </c>
      <c r="AB30" t="s">
        <v>9</v>
      </c>
      <c r="AC30">
        <v>8</v>
      </c>
      <c r="AD30">
        <v>0.2</v>
      </c>
      <c r="AE30">
        <v>4.0199999999999998E-9</v>
      </c>
      <c r="AF30">
        <v>0</v>
      </c>
      <c r="AG30" s="1">
        <v>0.248</v>
      </c>
      <c r="AH30" s="1">
        <v>1</v>
      </c>
      <c r="AI30" s="1">
        <f t="shared" si="10"/>
        <v>4.032258064516129</v>
      </c>
      <c r="AK30" t="s">
        <v>9</v>
      </c>
      <c r="AL30">
        <v>8</v>
      </c>
      <c r="AM30">
        <v>0.2</v>
      </c>
      <c r="AN30">
        <v>4.0199999999999998E-9</v>
      </c>
      <c r="AO30">
        <v>0</v>
      </c>
      <c r="AP30" s="1">
        <v>0.248</v>
      </c>
      <c r="AQ30" s="1">
        <v>1</v>
      </c>
      <c r="AR30" s="1">
        <f t="shared" si="11"/>
        <v>4.032258064516129</v>
      </c>
      <c r="AT30" s="12" t="e">
        <f t="shared" si="6"/>
        <v>#DIV/0!</v>
      </c>
      <c r="AU30" s="7">
        <f t="shared" si="12"/>
        <v>1</v>
      </c>
    </row>
    <row r="31" spans="1:47" x14ac:dyDescent="0.35">
      <c r="A31" s="17" t="s">
        <v>7</v>
      </c>
      <c r="B31">
        <v>0.1</v>
      </c>
      <c r="C31">
        <v>0.9</v>
      </c>
      <c r="D31">
        <v>0.41299999999999998</v>
      </c>
      <c r="E31">
        <v>0.41399999999999998</v>
      </c>
      <c r="F31" s="1">
        <v>1E-3</v>
      </c>
      <c r="G31" s="1">
        <v>-1.4E-3</v>
      </c>
      <c r="H31" s="1">
        <f t="shared" si="7"/>
        <v>1.4</v>
      </c>
      <c r="J31" t="s">
        <v>7</v>
      </c>
      <c r="K31">
        <v>0.1</v>
      </c>
      <c r="L31">
        <v>0.9</v>
      </c>
      <c r="M31">
        <v>0.41299999999999998</v>
      </c>
      <c r="N31">
        <v>0.41399999999999998</v>
      </c>
      <c r="O31" s="1">
        <v>1E-3</v>
      </c>
      <c r="P31" s="1">
        <v>-1.5E-3</v>
      </c>
      <c r="Q31" s="1">
        <f t="shared" si="8"/>
        <v>1.5</v>
      </c>
      <c r="S31" t="s">
        <v>7</v>
      </c>
      <c r="T31">
        <v>0.1</v>
      </c>
      <c r="U31">
        <v>0.9</v>
      </c>
      <c r="V31">
        <v>0.41299999999999998</v>
      </c>
      <c r="W31">
        <v>0.41399999999999998</v>
      </c>
      <c r="X31" s="1">
        <v>1E-3</v>
      </c>
      <c r="Y31" s="1">
        <v>-1.4E-3</v>
      </c>
      <c r="Z31" s="1">
        <f t="shared" si="9"/>
        <v>1.4</v>
      </c>
      <c r="AB31" t="s">
        <v>7</v>
      </c>
      <c r="AC31">
        <v>0.1</v>
      </c>
      <c r="AD31">
        <v>0.9</v>
      </c>
      <c r="AE31">
        <v>0.41299999999999998</v>
      </c>
      <c r="AF31">
        <v>0.41399999999999998</v>
      </c>
      <c r="AG31" s="1">
        <v>1E-3</v>
      </c>
      <c r="AH31" s="1">
        <v>-1.5E-3</v>
      </c>
      <c r="AI31" s="1">
        <f t="shared" si="10"/>
        <v>1.5</v>
      </c>
      <c r="AK31" t="s">
        <v>7</v>
      </c>
      <c r="AL31">
        <v>0.1</v>
      </c>
      <c r="AM31">
        <v>0.9</v>
      </c>
      <c r="AN31">
        <v>0.41299999999999998</v>
      </c>
      <c r="AO31">
        <v>0.41399999999999998</v>
      </c>
      <c r="AP31" s="1">
        <v>1E-3</v>
      </c>
      <c r="AQ31" s="1">
        <v>-1.5E-3</v>
      </c>
      <c r="AR31" s="1">
        <f t="shared" si="11"/>
        <v>1.5</v>
      </c>
      <c r="AT31" s="13">
        <f t="shared" si="6"/>
        <v>0</v>
      </c>
      <c r="AU31" s="8">
        <f t="shared" si="12"/>
        <v>-2.421307506053271E-3</v>
      </c>
    </row>
    <row r="32" spans="1:47" x14ac:dyDescent="0.35">
      <c r="A32" s="17" t="s">
        <v>7</v>
      </c>
      <c r="B32">
        <v>0.5</v>
      </c>
      <c r="C32">
        <v>0.9</v>
      </c>
      <c r="D32">
        <v>0.187</v>
      </c>
      <c r="E32">
        <v>0.184</v>
      </c>
      <c r="F32" s="1">
        <v>5.0000000000000001E-3</v>
      </c>
      <c r="G32" s="1">
        <v>1.66E-2</v>
      </c>
      <c r="H32" s="1">
        <f t="shared" si="7"/>
        <v>3.32</v>
      </c>
      <c r="J32" t="s">
        <v>7</v>
      </c>
      <c r="K32">
        <v>0.5</v>
      </c>
      <c r="L32">
        <v>0.9</v>
      </c>
      <c r="M32">
        <v>0.187</v>
      </c>
      <c r="N32">
        <v>0.184</v>
      </c>
      <c r="O32" s="1">
        <v>5.0000000000000001E-3</v>
      </c>
      <c r="P32" s="1">
        <v>1.67E-2</v>
      </c>
      <c r="Q32" s="1">
        <f t="shared" si="8"/>
        <v>3.34</v>
      </c>
      <c r="S32" t="s">
        <v>7</v>
      </c>
      <c r="T32">
        <v>0.5</v>
      </c>
      <c r="U32">
        <v>0.9</v>
      </c>
      <c r="V32">
        <v>0.187</v>
      </c>
      <c r="W32">
        <v>0.184</v>
      </c>
      <c r="X32" s="1">
        <v>5.0000000000000001E-3</v>
      </c>
      <c r="Y32" s="1">
        <v>1.67E-2</v>
      </c>
      <c r="Z32" s="1">
        <f t="shared" si="9"/>
        <v>3.34</v>
      </c>
      <c r="AB32" t="s">
        <v>7</v>
      </c>
      <c r="AC32">
        <v>0.5</v>
      </c>
      <c r="AD32">
        <v>0.9</v>
      </c>
      <c r="AE32">
        <v>0.187</v>
      </c>
      <c r="AF32">
        <v>0.184</v>
      </c>
      <c r="AG32" s="1">
        <v>5.0000000000000001E-3</v>
      </c>
      <c r="AH32" s="1">
        <v>1.66E-2</v>
      </c>
      <c r="AI32" s="1">
        <f t="shared" si="10"/>
        <v>3.32</v>
      </c>
      <c r="AK32" t="s">
        <v>7</v>
      </c>
      <c r="AL32">
        <v>0.5</v>
      </c>
      <c r="AM32">
        <v>0.9</v>
      </c>
      <c r="AN32">
        <v>0.187</v>
      </c>
      <c r="AO32">
        <v>0.184</v>
      </c>
      <c r="AP32" s="1">
        <v>5.0000000000000001E-3</v>
      </c>
      <c r="AQ32" s="1">
        <v>1.66E-2</v>
      </c>
      <c r="AR32" s="1">
        <f t="shared" si="11"/>
        <v>3.32</v>
      </c>
      <c r="AT32" s="13">
        <f t="shared" si="6"/>
        <v>0</v>
      </c>
      <c r="AU32" s="8">
        <f t="shared" si="12"/>
        <v>1.6042780748663117E-2</v>
      </c>
    </row>
    <row r="33" spans="1:47" x14ac:dyDescent="0.35">
      <c r="A33" s="17" t="s">
        <v>7</v>
      </c>
      <c r="B33">
        <v>1</v>
      </c>
      <c r="C33">
        <v>0.9</v>
      </c>
      <c r="D33">
        <v>6.8500000000000005E-2</v>
      </c>
      <c r="E33">
        <v>6.6199999999999995E-2</v>
      </c>
      <c r="F33" s="1">
        <v>0.01</v>
      </c>
      <c r="G33" s="1">
        <v>3.3500000000000002E-2</v>
      </c>
      <c r="H33" s="1">
        <f t="shared" si="7"/>
        <v>3.35</v>
      </c>
      <c r="J33" t="s">
        <v>7</v>
      </c>
      <c r="K33">
        <v>1</v>
      </c>
      <c r="L33">
        <v>0.9</v>
      </c>
      <c r="M33">
        <v>6.8500000000000005E-2</v>
      </c>
      <c r="N33">
        <v>6.6199999999999995E-2</v>
      </c>
      <c r="O33" s="1">
        <v>0.01</v>
      </c>
      <c r="P33" s="1">
        <v>3.32E-2</v>
      </c>
      <c r="Q33" s="1">
        <f t="shared" si="8"/>
        <v>3.32</v>
      </c>
      <c r="S33" t="s">
        <v>7</v>
      </c>
      <c r="T33">
        <v>1</v>
      </c>
      <c r="U33">
        <v>0.9</v>
      </c>
      <c r="V33">
        <v>6.8500000000000005E-2</v>
      </c>
      <c r="W33">
        <v>6.6199999999999995E-2</v>
      </c>
      <c r="X33" s="1">
        <v>0.01</v>
      </c>
      <c r="Y33" s="1">
        <v>3.4299999999999997E-2</v>
      </c>
      <c r="Z33" s="1">
        <f t="shared" si="9"/>
        <v>3.4299999999999997</v>
      </c>
      <c r="AB33" t="s">
        <v>7</v>
      </c>
      <c r="AC33">
        <v>1</v>
      </c>
      <c r="AD33">
        <v>0.9</v>
      </c>
      <c r="AE33">
        <v>6.8500000000000005E-2</v>
      </c>
      <c r="AF33">
        <v>6.6199999999999995E-2</v>
      </c>
      <c r="AG33" s="1">
        <v>0.01</v>
      </c>
      <c r="AH33" s="1">
        <v>3.3300000000000003E-2</v>
      </c>
      <c r="AI33" s="1">
        <f t="shared" si="10"/>
        <v>3.33</v>
      </c>
      <c r="AK33" t="s">
        <v>7</v>
      </c>
      <c r="AL33">
        <v>1</v>
      </c>
      <c r="AM33">
        <v>0.9</v>
      </c>
      <c r="AN33">
        <v>6.8500000000000005E-2</v>
      </c>
      <c r="AO33">
        <v>6.6199999999999995E-2</v>
      </c>
      <c r="AP33" s="1">
        <v>0.01</v>
      </c>
      <c r="AQ33" s="1">
        <v>3.3300000000000003E-2</v>
      </c>
      <c r="AR33" s="1">
        <f t="shared" si="11"/>
        <v>3.33</v>
      </c>
      <c r="AT33" s="13">
        <f t="shared" si="6"/>
        <v>0</v>
      </c>
      <c r="AU33" s="8">
        <f t="shared" si="12"/>
        <v>3.3576642335766571E-2</v>
      </c>
    </row>
    <row r="34" spans="1:47" x14ac:dyDescent="0.35">
      <c r="A34" s="17" t="s">
        <v>8</v>
      </c>
      <c r="B34">
        <v>0.1</v>
      </c>
      <c r="C34">
        <v>0.9</v>
      </c>
      <c r="D34">
        <v>9.3100000000000002E-2</v>
      </c>
      <c r="E34">
        <v>9.0200000000000002E-2</v>
      </c>
      <c r="F34" s="1">
        <v>2.1000000000000001E-2</v>
      </c>
      <c r="G34" s="1">
        <v>3.1300000000000001E-2</v>
      </c>
      <c r="H34" s="1">
        <f t="shared" si="7"/>
        <v>1.4904761904761905</v>
      </c>
      <c r="J34" t="s">
        <v>8</v>
      </c>
      <c r="K34">
        <v>0.1</v>
      </c>
      <c r="L34">
        <v>0.9</v>
      </c>
      <c r="M34">
        <v>9.3100000000000002E-2</v>
      </c>
      <c r="N34">
        <v>9.0200000000000002E-2</v>
      </c>
      <c r="O34" s="1">
        <v>2.1000000000000001E-2</v>
      </c>
      <c r="P34" s="1">
        <v>3.1399999999999997E-2</v>
      </c>
      <c r="Q34" s="1">
        <f t="shared" si="8"/>
        <v>1.495238095238095</v>
      </c>
      <c r="S34" t="s">
        <v>8</v>
      </c>
      <c r="T34">
        <v>0.1</v>
      </c>
      <c r="U34">
        <v>0.9</v>
      </c>
      <c r="V34">
        <v>9.3100000000000002E-2</v>
      </c>
      <c r="W34">
        <v>9.0200000000000002E-2</v>
      </c>
      <c r="X34" s="1">
        <v>2.1000000000000001E-2</v>
      </c>
      <c r="Y34" s="1">
        <v>3.0700000000000002E-2</v>
      </c>
      <c r="Z34" s="1">
        <f t="shared" si="9"/>
        <v>1.4619047619047618</v>
      </c>
      <c r="AB34" t="s">
        <v>8</v>
      </c>
      <c r="AC34">
        <v>0.1</v>
      </c>
      <c r="AD34">
        <v>0.9</v>
      </c>
      <c r="AE34">
        <v>9.3100000000000002E-2</v>
      </c>
      <c r="AF34">
        <v>9.0200000000000002E-2</v>
      </c>
      <c r="AG34" s="1">
        <v>2.1000000000000001E-2</v>
      </c>
      <c r="AH34" s="1">
        <v>3.0800000000000001E-2</v>
      </c>
      <c r="AI34" s="1">
        <f t="shared" si="10"/>
        <v>1.4666666666666666</v>
      </c>
      <c r="AK34" t="s">
        <v>8</v>
      </c>
      <c r="AL34">
        <v>0.1</v>
      </c>
      <c r="AM34">
        <v>0.9</v>
      </c>
      <c r="AN34">
        <v>9.3100000000000002E-2</v>
      </c>
      <c r="AO34">
        <v>9.0300000000000005E-2</v>
      </c>
      <c r="AP34" s="1">
        <v>2.1000000000000001E-2</v>
      </c>
      <c r="AQ34" s="1">
        <v>0.03</v>
      </c>
      <c r="AR34" s="1">
        <f t="shared" si="11"/>
        <v>1.4285714285714284</v>
      </c>
      <c r="AT34" s="14">
        <f t="shared" si="6"/>
        <v>4.9569230270446777E-4</v>
      </c>
      <c r="AU34" s="9">
        <f t="shared" si="12"/>
        <v>3.0934479054779886E-2</v>
      </c>
    </row>
    <row r="35" spans="1:47" x14ac:dyDescent="0.35">
      <c r="A35" s="17" t="s">
        <v>8</v>
      </c>
      <c r="B35">
        <v>0.5</v>
      </c>
      <c r="C35">
        <v>0.9</v>
      </c>
      <c r="D35">
        <v>4.6300000000000001E-2</v>
      </c>
      <c r="E35">
        <v>4.3499999999999997E-2</v>
      </c>
      <c r="F35" s="1">
        <v>1.7000000000000001E-2</v>
      </c>
      <c r="G35" s="1">
        <v>6.0199999999999997E-2</v>
      </c>
      <c r="H35" s="1">
        <f t="shared" si="7"/>
        <v>3.5411764705882347</v>
      </c>
      <c r="J35" t="s">
        <v>8</v>
      </c>
      <c r="K35">
        <v>0.5</v>
      </c>
      <c r="L35">
        <v>0.9</v>
      </c>
      <c r="M35">
        <v>4.6300000000000001E-2</v>
      </c>
      <c r="N35">
        <v>4.3499999999999997E-2</v>
      </c>
      <c r="O35" s="1">
        <v>1.7000000000000001E-2</v>
      </c>
      <c r="P35" s="1">
        <v>5.9799999999999999E-2</v>
      </c>
      <c r="Q35" s="1">
        <f t="shared" si="8"/>
        <v>3.5176470588235289</v>
      </c>
      <c r="S35" t="s">
        <v>8</v>
      </c>
      <c r="T35">
        <v>0.5</v>
      </c>
      <c r="U35">
        <v>0.9</v>
      </c>
      <c r="V35">
        <v>4.6300000000000001E-2</v>
      </c>
      <c r="W35">
        <v>4.36E-2</v>
      </c>
      <c r="X35" s="1">
        <v>1.7000000000000001E-2</v>
      </c>
      <c r="Y35" s="1">
        <v>5.9200000000000003E-2</v>
      </c>
      <c r="Z35" s="1">
        <f t="shared" si="9"/>
        <v>3.4823529411764707</v>
      </c>
      <c r="AB35" t="s">
        <v>8</v>
      </c>
      <c r="AC35">
        <v>0.5</v>
      </c>
      <c r="AD35">
        <v>0.9</v>
      </c>
      <c r="AE35">
        <v>4.6300000000000001E-2</v>
      </c>
      <c r="AF35">
        <v>4.3499999999999997E-2</v>
      </c>
      <c r="AG35" s="1">
        <v>1.7000000000000001E-2</v>
      </c>
      <c r="AH35" s="1">
        <v>6.0900000000000003E-2</v>
      </c>
      <c r="AI35" s="1">
        <f t="shared" si="10"/>
        <v>3.5823529411764703</v>
      </c>
      <c r="AK35" t="s">
        <v>8</v>
      </c>
      <c r="AL35">
        <v>0.5</v>
      </c>
      <c r="AM35">
        <v>0.9</v>
      </c>
      <c r="AN35">
        <v>4.6300000000000001E-2</v>
      </c>
      <c r="AO35">
        <v>4.36E-2</v>
      </c>
      <c r="AP35" s="1">
        <v>1.7000000000000001E-2</v>
      </c>
      <c r="AQ35" s="1">
        <v>5.91E-2</v>
      </c>
      <c r="AR35" s="1">
        <f t="shared" si="11"/>
        <v>3.4764705882352938</v>
      </c>
      <c r="AT35" s="14">
        <f t="shared" si="6"/>
        <v>1.2579755569710196E-3</v>
      </c>
      <c r="AU35" s="9">
        <f t="shared" si="12"/>
        <v>5.9611231101512147E-2</v>
      </c>
    </row>
    <row r="36" spans="1:47" x14ac:dyDescent="0.35">
      <c r="A36" s="17" t="s">
        <v>8</v>
      </c>
      <c r="B36">
        <v>1</v>
      </c>
      <c r="C36">
        <v>0.9</v>
      </c>
      <c r="D36">
        <v>1.6500000000000001E-2</v>
      </c>
      <c r="E36">
        <v>1.5100000000000001E-2</v>
      </c>
      <c r="F36" s="1">
        <v>1.4E-2</v>
      </c>
      <c r="G36" s="1">
        <v>8.3699999999999997E-2</v>
      </c>
      <c r="H36" s="1">
        <f t="shared" si="7"/>
        <v>5.9785714285714286</v>
      </c>
      <c r="J36" t="s">
        <v>8</v>
      </c>
      <c r="K36">
        <v>1</v>
      </c>
      <c r="L36">
        <v>0.9</v>
      </c>
      <c r="M36">
        <v>1.6500000000000001E-2</v>
      </c>
      <c r="N36">
        <v>1.5100000000000001E-2</v>
      </c>
      <c r="O36" s="1">
        <v>1.4E-2</v>
      </c>
      <c r="P36" s="1">
        <v>8.6499999999999994E-2</v>
      </c>
      <c r="Q36" s="1">
        <f t="shared" si="8"/>
        <v>6.1785714285714279</v>
      </c>
      <c r="S36" t="s">
        <v>8</v>
      </c>
      <c r="T36">
        <v>1</v>
      </c>
      <c r="U36">
        <v>0.9</v>
      </c>
      <c r="V36">
        <v>1.6500000000000001E-2</v>
      </c>
      <c r="W36">
        <v>1.5100000000000001E-2</v>
      </c>
      <c r="X36" s="1">
        <v>1.4E-2</v>
      </c>
      <c r="Y36" s="1">
        <v>8.3099999999999993E-2</v>
      </c>
      <c r="Z36" s="1">
        <f t="shared" si="9"/>
        <v>5.9357142857142851</v>
      </c>
      <c r="AB36" t="s">
        <v>8</v>
      </c>
      <c r="AC36">
        <v>1</v>
      </c>
      <c r="AD36">
        <v>0.9</v>
      </c>
      <c r="AE36">
        <v>1.6500000000000001E-2</v>
      </c>
      <c r="AF36">
        <v>1.5100000000000001E-2</v>
      </c>
      <c r="AG36" s="1">
        <v>1.4E-2</v>
      </c>
      <c r="AH36" s="1">
        <v>8.2699999999999996E-2</v>
      </c>
      <c r="AI36" s="1">
        <f t="shared" si="10"/>
        <v>5.9071428571428566</v>
      </c>
      <c r="AK36" t="s">
        <v>8</v>
      </c>
      <c r="AL36">
        <v>1</v>
      </c>
      <c r="AM36">
        <v>0.9</v>
      </c>
      <c r="AN36">
        <v>1.6500000000000001E-2</v>
      </c>
      <c r="AO36">
        <v>1.52E-2</v>
      </c>
      <c r="AP36" s="1">
        <v>1.4E-2</v>
      </c>
      <c r="AQ36" s="1">
        <v>8.1699999999999995E-2</v>
      </c>
      <c r="AR36" s="1">
        <f t="shared" si="11"/>
        <v>5.8357142857142854</v>
      </c>
      <c r="AT36" s="14">
        <f t="shared" si="6"/>
        <v>2.9577618749997039E-3</v>
      </c>
      <c r="AU36" s="9">
        <f t="shared" si="12"/>
        <v>8.3636363636363689E-2</v>
      </c>
    </row>
    <row r="37" spans="1:47" x14ac:dyDescent="0.35">
      <c r="A37" s="17" t="s">
        <v>9</v>
      </c>
      <c r="B37">
        <v>0.1</v>
      </c>
      <c r="C37">
        <v>0.9</v>
      </c>
      <c r="D37">
        <v>6.9899999999999997E-3</v>
      </c>
      <c r="E37">
        <v>7.5100000000000002E-3</v>
      </c>
      <c r="F37" s="1">
        <v>6.3E-2</v>
      </c>
      <c r="G37" s="1">
        <v>-7.3899999999999993E-2</v>
      </c>
      <c r="H37" s="1">
        <f t="shared" si="7"/>
        <v>1.1730158730158728</v>
      </c>
      <c r="J37" t="s">
        <v>9</v>
      </c>
      <c r="K37">
        <v>0.1</v>
      </c>
      <c r="L37">
        <v>0.9</v>
      </c>
      <c r="M37">
        <v>6.9899999999999997E-3</v>
      </c>
      <c r="N37">
        <v>7.4900000000000001E-3</v>
      </c>
      <c r="O37" s="1">
        <v>6.3E-2</v>
      </c>
      <c r="P37" s="1">
        <v>-7.1499999999999994E-2</v>
      </c>
      <c r="Q37" s="1">
        <f t="shared" si="8"/>
        <v>1.1349206349206349</v>
      </c>
      <c r="S37" t="s">
        <v>9</v>
      </c>
      <c r="T37">
        <v>0.1</v>
      </c>
      <c r="U37">
        <v>0.9</v>
      </c>
      <c r="V37">
        <v>6.9899999999999997E-3</v>
      </c>
      <c r="W37">
        <v>7.5100000000000002E-3</v>
      </c>
      <c r="X37" s="1">
        <v>6.3E-2</v>
      </c>
      <c r="Y37" s="1">
        <v>-7.3800000000000004E-2</v>
      </c>
      <c r="Z37" s="1">
        <f t="shared" si="9"/>
        <v>1.1714285714285715</v>
      </c>
      <c r="AB37" t="s">
        <v>9</v>
      </c>
      <c r="AC37">
        <v>0.1</v>
      </c>
      <c r="AD37">
        <v>0.9</v>
      </c>
      <c r="AE37">
        <v>6.9899999999999997E-3</v>
      </c>
      <c r="AF37">
        <v>7.4900000000000001E-3</v>
      </c>
      <c r="AG37" s="1">
        <v>6.3E-2</v>
      </c>
      <c r="AH37" s="1">
        <v>-7.1800000000000003E-2</v>
      </c>
      <c r="AI37" s="1">
        <f t="shared" si="10"/>
        <v>1.1396825396825396</v>
      </c>
      <c r="AK37" t="s">
        <v>9</v>
      </c>
      <c r="AL37">
        <v>0.1</v>
      </c>
      <c r="AM37">
        <v>0.9</v>
      </c>
      <c r="AN37">
        <v>6.9899999999999997E-3</v>
      </c>
      <c r="AO37">
        <v>7.5100000000000002E-3</v>
      </c>
      <c r="AP37" s="1">
        <v>6.3E-2</v>
      </c>
      <c r="AQ37" s="1">
        <v>-7.3800000000000004E-2</v>
      </c>
      <c r="AR37" s="1">
        <f t="shared" si="11"/>
        <v>1.1714285714285715</v>
      </c>
      <c r="AT37" s="12">
        <f t="shared" si="6"/>
        <v>1.4602040989207346E-3</v>
      </c>
      <c r="AU37" s="7">
        <f t="shared" si="12"/>
        <v>-7.3247496423462136E-2</v>
      </c>
    </row>
    <row r="38" spans="1:47" x14ac:dyDescent="0.35">
      <c r="A38" s="17" t="s">
        <v>9</v>
      </c>
      <c r="B38">
        <v>0.5</v>
      </c>
      <c r="C38">
        <v>0.9</v>
      </c>
      <c r="D38">
        <v>3.29E-3</v>
      </c>
      <c r="E38">
        <v>3.3700000000000002E-3</v>
      </c>
      <c r="F38" s="1">
        <v>5.5E-2</v>
      </c>
      <c r="G38" s="1">
        <v>-2.3599999999999999E-2</v>
      </c>
      <c r="H38" s="1">
        <f t="shared" si="7"/>
        <v>0.42909090909090908</v>
      </c>
      <c r="J38" t="s">
        <v>9</v>
      </c>
      <c r="K38">
        <v>0.5</v>
      </c>
      <c r="L38">
        <v>0.9</v>
      </c>
      <c r="M38">
        <v>3.29E-3</v>
      </c>
      <c r="N38">
        <v>3.3400000000000001E-3</v>
      </c>
      <c r="O38" s="1">
        <v>5.5E-2</v>
      </c>
      <c r="P38" s="1">
        <v>-1.66E-2</v>
      </c>
      <c r="Q38" s="1">
        <f t="shared" si="8"/>
        <v>0.30181818181818182</v>
      </c>
      <c r="S38" t="s">
        <v>9</v>
      </c>
      <c r="T38">
        <v>0.5</v>
      </c>
      <c r="U38">
        <v>0.9</v>
      </c>
      <c r="V38">
        <v>3.29E-3</v>
      </c>
      <c r="W38">
        <v>3.3500000000000001E-3</v>
      </c>
      <c r="X38" s="1">
        <v>5.5E-2</v>
      </c>
      <c r="Y38" s="1">
        <v>-1.9400000000000001E-2</v>
      </c>
      <c r="Z38" s="1">
        <f t="shared" si="9"/>
        <v>0.35272727272727272</v>
      </c>
      <c r="AB38" t="s">
        <v>9</v>
      </c>
      <c r="AC38">
        <v>0.5</v>
      </c>
      <c r="AD38">
        <v>0.9</v>
      </c>
      <c r="AE38">
        <v>3.29E-3</v>
      </c>
      <c r="AF38">
        <v>3.3600000000000001E-3</v>
      </c>
      <c r="AG38" s="1">
        <v>5.5E-2</v>
      </c>
      <c r="AH38" s="1">
        <v>-2.2499999999999999E-2</v>
      </c>
      <c r="AI38" s="1">
        <f t="shared" si="10"/>
        <v>0.40909090909090906</v>
      </c>
      <c r="AK38" t="s">
        <v>9</v>
      </c>
      <c r="AL38">
        <v>0.5</v>
      </c>
      <c r="AM38">
        <v>0.9</v>
      </c>
      <c r="AN38">
        <v>3.29E-3</v>
      </c>
      <c r="AO38">
        <v>3.3600000000000001E-3</v>
      </c>
      <c r="AP38" s="1">
        <v>5.5E-2</v>
      </c>
      <c r="AQ38" s="1">
        <v>-2.0899999999999998E-2</v>
      </c>
      <c r="AR38" s="1">
        <f t="shared" si="11"/>
        <v>0.37999999999999995</v>
      </c>
      <c r="AT38" s="12">
        <f t="shared" si="6"/>
        <v>3.3974237935016113E-3</v>
      </c>
      <c r="AU38" s="7">
        <f t="shared" si="12"/>
        <v>-2.0060790273556388E-2</v>
      </c>
    </row>
    <row r="39" spans="1:47" x14ac:dyDescent="0.35">
      <c r="A39" s="17" t="s">
        <v>9</v>
      </c>
      <c r="B39">
        <v>1</v>
      </c>
      <c r="C39">
        <v>0.9</v>
      </c>
      <c r="D39">
        <v>1.2099999999999999E-3</v>
      </c>
      <c r="E39">
        <v>1.1999999999999999E-3</v>
      </c>
      <c r="F39" s="1">
        <v>0.109</v>
      </c>
      <c r="G39" s="1">
        <v>1.0200000000000001E-2</v>
      </c>
      <c r="H39" s="1">
        <f t="shared" si="7"/>
        <v>9.3577981651376152E-2</v>
      </c>
      <c r="J39" t="s">
        <v>9</v>
      </c>
      <c r="K39">
        <v>1</v>
      </c>
      <c r="L39">
        <v>0.9</v>
      </c>
      <c r="M39">
        <v>1.2099999999999999E-3</v>
      </c>
      <c r="N39">
        <v>1.1999999999999999E-3</v>
      </c>
      <c r="O39" s="1">
        <v>0.109</v>
      </c>
      <c r="P39" s="1">
        <v>8.5000000000000006E-3</v>
      </c>
      <c r="Q39" s="1">
        <f t="shared" si="8"/>
        <v>7.7981651376146793E-2</v>
      </c>
      <c r="S39" t="s">
        <v>9</v>
      </c>
      <c r="T39">
        <v>1</v>
      </c>
      <c r="U39">
        <v>0.9</v>
      </c>
      <c r="V39">
        <v>1.2099999999999999E-3</v>
      </c>
      <c r="W39">
        <v>1.1999999999999999E-3</v>
      </c>
      <c r="X39" s="1">
        <v>0.109</v>
      </c>
      <c r="Y39" s="1">
        <v>1.15E-2</v>
      </c>
      <c r="Z39" s="1">
        <f t="shared" si="9"/>
        <v>0.10550458715596329</v>
      </c>
      <c r="AB39" t="s">
        <v>9</v>
      </c>
      <c r="AC39">
        <v>1</v>
      </c>
      <c r="AD39">
        <v>0.9</v>
      </c>
      <c r="AE39">
        <v>1.2099999999999999E-3</v>
      </c>
      <c r="AF39">
        <v>1.1900000000000001E-3</v>
      </c>
      <c r="AG39" s="1">
        <v>0.109</v>
      </c>
      <c r="AH39" s="1">
        <v>1.55E-2</v>
      </c>
      <c r="AI39" s="1">
        <f t="shared" si="10"/>
        <v>0.14220183486238533</v>
      </c>
      <c r="AK39" t="s">
        <v>9</v>
      </c>
      <c r="AL39">
        <v>1</v>
      </c>
      <c r="AM39">
        <v>0.9</v>
      </c>
      <c r="AN39">
        <v>1.2099999999999999E-3</v>
      </c>
      <c r="AO39">
        <v>1.1900000000000001E-3</v>
      </c>
      <c r="AP39" s="1">
        <v>0.109</v>
      </c>
      <c r="AQ39" s="1">
        <v>2.0500000000000001E-2</v>
      </c>
      <c r="AR39" s="1">
        <f t="shared" si="11"/>
        <v>0.18807339449541285</v>
      </c>
      <c r="AT39" s="12">
        <f>STDEV(AO39,AF39,W39,N39,E39)/ AVERAGE(AO39,AF39,W39,N39,E39)</f>
        <v>4.5796200460297299E-3</v>
      </c>
      <c r="AU39" s="7">
        <f t="shared" si="12"/>
        <v>1.1570247933884401E-2</v>
      </c>
    </row>
    <row r="40" spans="1:47" x14ac:dyDescent="0.35">
      <c r="A40" s="6" t="s">
        <v>10</v>
      </c>
      <c r="B40" s="6"/>
      <c r="C40" s="6"/>
      <c r="D40" s="6"/>
      <c r="E40" s="6"/>
      <c r="F40" s="6"/>
      <c r="G40" s="6"/>
      <c r="H40" s="6"/>
      <c r="AN40" s="6" t="s">
        <v>10</v>
      </c>
      <c r="AO40" s="6"/>
      <c r="AP40" s="6"/>
      <c r="AQ40" s="6"/>
      <c r="AR40" s="6"/>
      <c r="AS40" s="6"/>
      <c r="AT40" s="6"/>
      <c r="AU40" s="6"/>
    </row>
    <row r="41" spans="1:47" x14ac:dyDescent="0.35">
      <c r="A41" s="17" t="s">
        <v>0</v>
      </c>
      <c r="B41" t="s">
        <v>1</v>
      </c>
      <c r="C41" t="s">
        <v>2</v>
      </c>
      <c r="D41" t="s">
        <v>3</v>
      </c>
      <c r="E41" t="s">
        <v>4</v>
      </c>
      <c r="F41" t="s">
        <v>5</v>
      </c>
      <c r="G41" t="s">
        <v>6</v>
      </c>
      <c r="J41" t="s">
        <v>0</v>
      </c>
      <c r="K41" t="s">
        <v>1</v>
      </c>
      <c r="L41" t="s">
        <v>2</v>
      </c>
      <c r="M41" t="s">
        <v>3</v>
      </c>
      <c r="N41" t="s">
        <v>4</v>
      </c>
      <c r="O41" t="s">
        <v>5</v>
      </c>
      <c r="P41" t="s">
        <v>6</v>
      </c>
      <c r="S41" t="s">
        <v>0</v>
      </c>
      <c r="T41" t="s">
        <v>1</v>
      </c>
      <c r="U41" t="s">
        <v>2</v>
      </c>
      <c r="V41" t="s">
        <v>3</v>
      </c>
      <c r="W41" t="s">
        <v>4</v>
      </c>
      <c r="X41" t="s">
        <v>5</v>
      </c>
      <c r="Y41" t="s">
        <v>6</v>
      </c>
      <c r="AB41" t="s">
        <v>0</v>
      </c>
      <c r="AC41" t="s">
        <v>1</v>
      </c>
      <c r="AD41" t="s">
        <v>2</v>
      </c>
      <c r="AE41" t="s">
        <v>3</v>
      </c>
      <c r="AF41" t="s">
        <v>4</v>
      </c>
      <c r="AG41" t="s">
        <v>5</v>
      </c>
      <c r="AH41" t="s">
        <v>6</v>
      </c>
      <c r="AK41" t="s">
        <v>0</v>
      </c>
      <c r="AL41" t="s">
        <v>1</v>
      </c>
      <c r="AM41" t="s">
        <v>2</v>
      </c>
      <c r="AN41" t="s">
        <v>3</v>
      </c>
      <c r="AO41" t="s">
        <v>4</v>
      </c>
      <c r="AP41" t="s">
        <v>5</v>
      </c>
      <c r="AQ41" t="s">
        <v>6</v>
      </c>
    </row>
    <row r="42" spans="1:47" x14ac:dyDescent="0.35">
      <c r="A42" s="17" t="s">
        <v>7</v>
      </c>
      <c r="B42">
        <v>0.8</v>
      </c>
      <c r="C42">
        <v>0.2</v>
      </c>
      <c r="D42">
        <v>0.16200000000000001</v>
      </c>
      <c r="E42">
        <v>0.16200000000000001</v>
      </c>
      <c r="F42" s="1">
        <v>0</v>
      </c>
      <c r="G42" s="1">
        <v>-6.9999999999999999E-4</v>
      </c>
      <c r="H42" s="1" t="e">
        <f>ABS(G42/F42)</f>
        <v>#DIV/0!</v>
      </c>
      <c r="J42" t="s">
        <v>7</v>
      </c>
      <c r="K42">
        <v>0.8</v>
      </c>
      <c r="L42">
        <v>0.2</v>
      </c>
      <c r="M42">
        <v>0.16200000000000001</v>
      </c>
      <c r="N42">
        <v>0.16200000000000001</v>
      </c>
      <c r="O42" s="1">
        <v>0</v>
      </c>
      <c r="P42" s="1">
        <v>-8.9999999999999998E-4</v>
      </c>
      <c r="Q42" s="1" t="e">
        <f>ABS(P42/O42)</f>
        <v>#DIV/0!</v>
      </c>
      <c r="S42" t="s">
        <v>7</v>
      </c>
      <c r="T42">
        <v>0.8</v>
      </c>
      <c r="U42">
        <v>0.2</v>
      </c>
      <c r="V42">
        <v>0.16200000000000001</v>
      </c>
      <c r="W42">
        <v>0.16200000000000001</v>
      </c>
      <c r="X42" s="1">
        <v>0</v>
      </c>
      <c r="Y42" s="1">
        <v>-4.0000000000000002E-4</v>
      </c>
      <c r="Z42" s="1" t="e">
        <f>ABS(Y42/X42)</f>
        <v>#DIV/0!</v>
      </c>
      <c r="AB42" t="s">
        <v>7</v>
      </c>
      <c r="AC42">
        <v>0.8</v>
      </c>
      <c r="AD42">
        <v>0.2</v>
      </c>
      <c r="AE42">
        <v>0.16200000000000001</v>
      </c>
      <c r="AF42">
        <v>0.16200000000000001</v>
      </c>
      <c r="AG42" s="1">
        <v>0</v>
      </c>
      <c r="AH42" s="1">
        <v>-8.0000000000000004E-4</v>
      </c>
      <c r="AI42" s="1" t="e">
        <f>ABS(AH42/AG42)</f>
        <v>#DIV/0!</v>
      </c>
      <c r="AK42" t="s">
        <v>7</v>
      </c>
      <c r="AL42">
        <v>0.8</v>
      </c>
      <c r="AM42">
        <v>0.2</v>
      </c>
      <c r="AN42">
        <v>0.16200000000000001</v>
      </c>
      <c r="AO42">
        <v>0.16200000000000001</v>
      </c>
      <c r="AP42" s="1">
        <v>0</v>
      </c>
      <c r="AQ42" s="1">
        <v>-4.0000000000000002E-4</v>
      </c>
      <c r="AR42" s="1" t="e">
        <f>ABS(AQ42/AP42)</f>
        <v>#DIV/0!</v>
      </c>
      <c r="AT42" s="12">
        <f t="shared" ref="AT42:AT58" si="13">STDEV(AO42,AF42,W42,N42,E42)/ AVERAGE(AO42,AF42,W42,N42,E42)</f>
        <v>0</v>
      </c>
      <c r="AU42" s="7">
        <f>( D42 - AVERAGE(AO42,AF42,W42,N42,E42))/ D42</f>
        <v>0</v>
      </c>
    </row>
    <row r="43" spans="1:47" x14ac:dyDescent="0.35">
      <c r="A43" s="17" t="s">
        <v>7</v>
      </c>
      <c r="B43">
        <v>4</v>
      </c>
      <c r="C43">
        <v>0.2</v>
      </c>
      <c r="D43">
        <v>2.2699999999999999E-3</v>
      </c>
      <c r="E43">
        <v>2.2699999999999999E-3</v>
      </c>
      <c r="F43" s="1">
        <v>2E-3</v>
      </c>
      <c r="G43" s="1">
        <v>-2.0999999999999999E-3</v>
      </c>
      <c r="H43" s="1">
        <f t="shared" ref="H43:H59" si="14">ABS(G43/F43)</f>
        <v>1.0499999999999998</v>
      </c>
      <c r="J43" t="s">
        <v>7</v>
      </c>
      <c r="K43">
        <v>4</v>
      </c>
      <c r="L43">
        <v>0.2</v>
      </c>
      <c r="M43">
        <v>2.2699999999999999E-3</v>
      </c>
      <c r="N43">
        <v>2.2899999999999999E-3</v>
      </c>
      <c r="O43" s="1">
        <v>2E-3</v>
      </c>
      <c r="P43" s="1">
        <v>-6.7000000000000002E-3</v>
      </c>
      <c r="Q43" s="1">
        <f t="shared" ref="Q43:Q59" si="15">ABS(P43/O43)</f>
        <v>3.35</v>
      </c>
      <c r="S43" t="s">
        <v>7</v>
      </c>
      <c r="T43">
        <v>4</v>
      </c>
      <c r="U43">
        <v>0.2</v>
      </c>
      <c r="V43">
        <v>2.2699999999999999E-3</v>
      </c>
      <c r="W43">
        <v>2.2799999999999999E-3</v>
      </c>
      <c r="X43" s="1">
        <v>2E-3</v>
      </c>
      <c r="Y43" s="1">
        <v>-4.4999999999999997E-3</v>
      </c>
      <c r="Z43" s="1">
        <f t="shared" ref="Z43:Z59" si="16">ABS(Y43/X43)</f>
        <v>2.25</v>
      </c>
      <c r="AB43" t="s">
        <v>7</v>
      </c>
      <c r="AC43">
        <v>4</v>
      </c>
      <c r="AD43">
        <v>0.2</v>
      </c>
      <c r="AE43">
        <v>2.2699999999999999E-3</v>
      </c>
      <c r="AF43">
        <v>2.2899999999999999E-3</v>
      </c>
      <c r="AG43" s="1">
        <v>2E-3</v>
      </c>
      <c r="AH43" s="1">
        <v>-7.7000000000000002E-3</v>
      </c>
      <c r="AI43" s="1">
        <f t="shared" ref="AI43:AI59" si="17">ABS(AH43/AG43)</f>
        <v>3.85</v>
      </c>
      <c r="AK43" t="s">
        <v>7</v>
      </c>
      <c r="AL43">
        <v>4</v>
      </c>
      <c r="AM43">
        <v>0.2</v>
      </c>
      <c r="AN43">
        <v>2.2699999999999999E-3</v>
      </c>
      <c r="AO43">
        <v>2.2799999999999999E-3</v>
      </c>
      <c r="AP43" s="1">
        <v>2E-3</v>
      </c>
      <c r="AQ43" s="1">
        <v>-4.4000000000000003E-3</v>
      </c>
      <c r="AR43" s="1">
        <f t="shared" ref="AR43:AR59" si="18">ABS(AQ43/AP43)</f>
        <v>2.2000000000000002</v>
      </c>
      <c r="AT43" s="12">
        <f t="shared" si="13"/>
        <v>3.6663454274061254E-3</v>
      </c>
      <c r="AU43" s="7">
        <f t="shared" ref="AU43:AU59" si="19">( D43 - AVERAGE(AO43,AF43,W43,N43,E43))/ D43</f>
        <v>-5.2863436123347391E-3</v>
      </c>
    </row>
    <row r="44" spans="1:47" x14ac:dyDescent="0.35">
      <c r="A44" s="17" t="s">
        <v>7</v>
      </c>
      <c r="B44">
        <v>8</v>
      </c>
      <c r="C44">
        <v>0.2</v>
      </c>
      <c r="D44">
        <v>1.2999999999999999E-5</v>
      </c>
      <c r="E44">
        <v>1.3200000000000001E-5</v>
      </c>
      <c r="F44" s="1">
        <v>4.7E-2</v>
      </c>
      <c r="G44" s="1">
        <v>-1.38E-2</v>
      </c>
      <c r="H44" s="1">
        <f t="shared" si="14"/>
        <v>0.29361702127659572</v>
      </c>
      <c r="J44" t="s">
        <v>7</v>
      </c>
      <c r="K44">
        <v>8</v>
      </c>
      <c r="L44">
        <v>0.2</v>
      </c>
      <c r="M44">
        <v>1.2999999999999999E-5</v>
      </c>
      <c r="N44">
        <v>1.31E-5</v>
      </c>
      <c r="O44" s="1">
        <v>4.7E-2</v>
      </c>
      <c r="P44" s="1">
        <v>-8.5000000000000006E-3</v>
      </c>
      <c r="Q44" s="1">
        <f t="shared" si="15"/>
        <v>0.18085106382978725</v>
      </c>
      <c r="S44" t="s">
        <v>7</v>
      </c>
      <c r="T44">
        <v>8</v>
      </c>
      <c r="U44">
        <v>0.2</v>
      </c>
      <c r="V44">
        <v>1.2999999999999999E-5</v>
      </c>
      <c r="W44">
        <v>1.29E-5</v>
      </c>
      <c r="X44" s="1">
        <v>4.7E-2</v>
      </c>
      <c r="Y44" s="1">
        <v>9.1999999999999998E-3</v>
      </c>
      <c r="Z44" s="1">
        <f t="shared" si="16"/>
        <v>0.19574468085106383</v>
      </c>
      <c r="AB44" t="s">
        <v>7</v>
      </c>
      <c r="AC44">
        <v>8</v>
      </c>
      <c r="AD44">
        <v>0.2</v>
      </c>
      <c r="AE44">
        <v>1.2999999999999999E-5</v>
      </c>
      <c r="AF44">
        <v>1.31E-5</v>
      </c>
      <c r="AG44" s="1">
        <v>4.7E-2</v>
      </c>
      <c r="AH44" s="1">
        <v>-4.5999999999999999E-3</v>
      </c>
      <c r="AI44" s="1">
        <f t="shared" si="17"/>
        <v>9.7872340425531917E-2</v>
      </c>
      <c r="AK44" t="s">
        <v>7</v>
      </c>
      <c r="AL44">
        <v>8</v>
      </c>
      <c r="AM44">
        <v>0.2</v>
      </c>
      <c r="AN44">
        <v>1.2999999999999999E-5</v>
      </c>
      <c r="AO44">
        <v>1.3200000000000001E-5</v>
      </c>
      <c r="AP44" s="1">
        <v>4.7E-2</v>
      </c>
      <c r="AQ44" s="1">
        <v>-1.46E-2</v>
      </c>
      <c r="AR44" s="1">
        <f t="shared" si="18"/>
        <v>0.31063829787234043</v>
      </c>
      <c r="AT44" s="12">
        <f t="shared" si="13"/>
        <v>9.3491974915388618E-3</v>
      </c>
      <c r="AU44" s="7">
        <f t="shared" si="19"/>
        <v>-7.6923076923078801E-3</v>
      </c>
    </row>
    <row r="45" spans="1:47" x14ac:dyDescent="0.35">
      <c r="A45" s="17" t="s">
        <v>8</v>
      </c>
      <c r="B45">
        <v>0.8</v>
      </c>
      <c r="C45">
        <v>0.2</v>
      </c>
      <c r="D45">
        <v>9.6599999999999995E-4</v>
      </c>
      <c r="E45">
        <v>9.4600000000000001E-4</v>
      </c>
      <c r="F45" s="1">
        <v>2.3E-2</v>
      </c>
      <c r="G45" s="1">
        <v>2.12E-2</v>
      </c>
      <c r="H45" s="1">
        <f t="shared" si="14"/>
        <v>0.92173913043478262</v>
      </c>
      <c r="J45" t="s">
        <v>8</v>
      </c>
      <c r="K45">
        <v>0.8</v>
      </c>
      <c r="L45">
        <v>0.2</v>
      </c>
      <c r="M45">
        <v>9.6599999999999995E-4</v>
      </c>
      <c r="N45">
        <v>9.3899999999999995E-4</v>
      </c>
      <c r="O45" s="1">
        <v>2.3E-2</v>
      </c>
      <c r="P45" s="1">
        <v>2.7900000000000001E-2</v>
      </c>
      <c r="Q45" s="1">
        <f t="shared" si="15"/>
        <v>1.2130434782608697</v>
      </c>
      <c r="S45" t="s">
        <v>8</v>
      </c>
      <c r="T45">
        <v>0.8</v>
      </c>
      <c r="U45">
        <v>0.2</v>
      </c>
      <c r="V45">
        <v>9.6599999999999995E-4</v>
      </c>
      <c r="W45">
        <v>9.4499999999999998E-4</v>
      </c>
      <c r="X45" s="1">
        <v>2.3E-2</v>
      </c>
      <c r="Y45" s="1">
        <v>2.1499999999999998E-2</v>
      </c>
      <c r="Z45" s="1">
        <f t="shared" si="16"/>
        <v>0.93478260869565211</v>
      </c>
      <c r="AB45" t="s">
        <v>8</v>
      </c>
      <c r="AC45">
        <v>0.8</v>
      </c>
      <c r="AD45">
        <v>0.2</v>
      </c>
      <c r="AE45">
        <v>9.6599999999999995E-4</v>
      </c>
      <c r="AF45">
        <v>9.5100000000000002E-4</v>
      </c>
      <c r="AG45" s="1">
        <v>2.3E-2</v>
      </c>
      <c r="AH45" s="1">
        <v>1.4999999999999999E-2</v>
      </c>
      <c r="AI45" s="1">
        <f t="shared" si="17"/>
        <v>0.65217391304347827</v>
      </c>
      <c r="AK45" t="s">
        <v>8</v>
      </c>
      <c r="AL45">
        <v>0.8</v>
      </c>
      <c r="AM45">
        <v>0.2</v>
      </c>
      <c r="AN45">
        <v>9.6599999999999995E-4</v>
      </c>
      <c r="AO45">
        <v>9.5299999999999996E-4</v>
      </c>
      <c r="AP45" s="1">
        <v>2.3E-2</v>
      </c>
      <c r="AQ45" s="1">
        <v>1.38E-2</v>
      </c>
      <c r="AR45" s="1">
        <f t="shared" si="18"/>
        <v>0.6</v>
      </c>
      <c r="AT45" s="12">
        <f t="shared" si="13"/>
        <v>5.8042381343616899E-3</v>
      </c>
      <c r="AU45" s="7">
        <f t="shared" si="19"/>
        <v>1.9875776397515563E-2</v>
      </c>
    </row>
    <row r="46" spans="1:47" x14ac:dyDescent="0.35">
      <c r="A46" s="17" t="s">
        <v>8</v>
      </c>
      <c r="B46">
        <v>4</v>
      </c>
      <c r="C46">
        <v>0.2</v>
      </c>
      <c r="D46">
        <v>1.3699999999999999E-5</v>
      </c>
      <c r="E46">
        <v>1.4399999999999999E-5</v>
      </c>
      <c r="F46" s="1">
        <v>6.3E-2</v>
      </c>
      <c r="G46" s="1">
        <v>-5.04E-2</v>
      </c>
      <c r="H46" s="1">
        <f t="shared" si="14"/>
        <v>0.8</v>
      </c>
      <c r="J46" t="s">
        <v>8</v>
      </c>
      <c r="K46">
        <v>4</v>
      </c>
      <c r="L46">
        <v>0.2</v>
      </c>
      <c r="M46">
        <v>1.3699999999999999E-5</v>
      </c>
      <c r="N46">
        <v>1.33E-5</v>
      </c>
      <c r="O46" s="1">
        <v>6.3E-2</v>
      </c>
      <c r="P46" s="1">
        <v>2.92E-2</v>
      </c>
      <c r="Q46" s="1">
        <f t="shared" si="15"/>
        <v>0.46349206349206351</v>
      </c>
      <c r="S46" t="s">
        <v>8</v>
      </c>
      <c r="T46">
        <v>4</v>
      </c>
      <c r="U46">
        <v>0.2</v>
      </c>
      <c r="V46">
        <v>1.3699999999999999E-5</v>
      </c>
      <c r="W46">
        <v>1.1800000000000001E-5</v>
      </c>
      <c r="X46" s="1">
        <v>6.3E-2</v>
      </c>
      <c r="Y46" s="1">
        <v>0.1394</v>
      </c>
      <c r="Z46" s="1">
        <f t="shared" si="16"/>
        <v>2.2126984126984128</v>
      </c>
      <c r="AB46" t="s">
        <v>8</v>
      </c>
      <c r="AC46">
        <v>4</v>
      </c>
      <c r="AD46">
        <v>0.2</v>
      </c>
      <c r="AE46">
        <v>1.3699999999999999E-5</v>
      </c>
      <c r="AF46">
        <v>1.31E-5</v>
      </c>
      <c r="AG46" s="1">
        <v>6.3E-2</v>
      </c>
      <c r="AH46" s="1">
        <v>4.1599999999999998E-2</v>
      </c>
      <c r="AI46" s="1">
        <f t="shared" si="17"/>
        <v>0.6603174603174603</v>
      </c>
      <c r="AK46" t="s">
        <v>8</v>
      </c>
      <c r="AL46">
        <v>4</v>
      </c>
      <c r="AM46">
        <v>0.2</v>
      </c>
      <c r="AN46">
        <v>1.3699999999999999E-5</v>
      </c>
      <c r="AO46">
        <v>1.1800000000000001E-5</v>
      </c>
      <c r="AP46" s="1">
        <v>6.3E-2</v>
      </c>
      <c r="AQ46" s="1">
        <v>0.13650000000000001</v>
      </c>
      <c r="AR46" s="1">
        <f t="shared" si="18"/>
        <v>2.166666666666667</v>
      </c>
      <c r="AT46" s="12">
        <f t="shared" si="13"/>
        <v>8.5650406028084491E-2</v>
      </c>
      <c r="AU46" s="7">
        <f t="shared" si="19"/>
        <v>5.9854014598539944E-2</v>
      </c>
    </row>
    <row r="47" spans="1:47" x14ac:dyDescent="0.35">
      <c r="A47" s="17" t="s">
        <v>8</v>
      </c>
      <c r="B47">
        <v>8</v>
      </c>
      <c r="C47">
        <v>0.2</v>
      </c>
      <c r="D47">
        <v>7.2800000000000003E-8</v>
      </c>
      <c r="E47">
        <v>1.6999999999999999E-7</v>
      </c>
      <c r="F47" s="1">
        <v>0.187</v>
      </c>
      <c r="G47" s="1">
        <v>-1.3351999999999999</v>
      </c>
      <c r="H47" s="1">
        <f t="shared" si="14"/>
        <v>7.1401069518716573</v>
      </c>
      <c r="J47" t="s">
        <v>8</v>
      </c>
      <c r="K47">
        <v>8</v>
      </c>
      <c r="L47">
        <v>0.2</v>
      </c>
      <c r="M47">
        <v>7.2800000000000003E-8</v>
      </c>
      <c r="N47">
        <v>2.1E-7</v>
      </c>
      <c r="O47" s="1">
        <v>0.187</v>
      </c>
      <c r="P47" s="1">
        <v>-1.8846000000000001</v>
      </c>
      <c r="Q47" s="1">
        <f t="shared" si="15"/>
        <v>10.07807486631016</v>
      </c>
      <c r="S47" t="s">
        <v>8</v>
      </c>
      <c r="T47">
        <v>8</v>
      </c>
      <c r="U47">
        <v>0.2</v>
      </c>
      <c r="V47">
        <v>7.2800000000000003E-8</v>
      </c>
      <c r="W47">
        <v>4.9999999999999998E-8</v>
      </c>
      <c r="X47" s="1">
        <v>0.187</v>
      </c>
      <c r="Y47" s="1">
        <v>0.31319999999999998</v>
      </c>
      <c r="Z47" s="1">
        <f t="shared" si="16"/>
        <v>1.6748663101604278</v>
      </c>
      <c r="AB47" t="s">
        <v>8</v>
      </c>
      <c r="AC47">
        <v>8</v>
      </c>
      <c r="AD47">
        <v>0.2</v>
      </c>
      <c r="AE47">
        <v>7.2800000000000003E-8</v>
      </c>
      <c r="AF47">
        <v>1.6999999999999999E-7</v>
      </c>
      <c r="AG47" s="1">
        <v>0.187</v>
      </c>
      <c r="AH47" s="1">
        <v>-1.3351999999999999</v>
      </c>
      <c r="AI47" s="1">
        <f t="shared" si="17"/>
        <v>7.1401069518716573</v>
      </c>
      <c r="AK47" t="s">
        <v>8</v>
      </c>
      <c r="AL47">
        <v>8</v>
      </c>
      <c r="AM47">
        <v>0.2</v>
      </c>
      <c r="AN47">
        <v>7.2800000000000003E-8</v>
      </c>
      <c r="AO47">
        <v>1.1999999999999999E-7</v>
      </c>
      <c r="AP47" s="1">
        <v>0.187</v>
      </c>
      <c r="AQ47" s="1">
        <v>-0.64839999999999998</v>
      </c>
      <c r="AR47" s="1">
        <f t="shared" si="18"/>
        <v>3.4673796791443849</v>
      </c>
      <c r="AT47" s="12">
        <f t="shared" si="13"/>
        <v>0.42695628191498325</v>
      </c>
      <c r="AU47" s="7">
        <f t="shared" si="19"/>
        <v>-0.97802197802197788</v>
      </c>
    </row>
    <row r="48" spans="1:47" x14ac:dyDescent="0.35">
      <c r="A48" s="17" t="s">
        <v>9</v>
      </c>
      <c r="B48">
        <v>0.8</v>
      </c>
      <c r="C48">
        <v>0.2</v>
      </c>
      <c r="D48">
        <v>5.4700000000000001E-5</v>
      </c>
      <c r="E48">
        <v>5.8799999999999999E-5</v>
      </c>
      <c r="F48" s="1">
        <v>0.06</v>
      </c>
      <c r="G48" s="1">
        <v>-7.5700000000000003E-2</v>
      </c>
      <c r="H48" s="1">
        <f t="shared" si="14"/>
        <v>1.2616666666666667</v>
      </c>
      <c r="J48" t="s">
        <v>9</v>
      </c>
      <c r="K48">
        <v>0.8</v>
      </c>
      <c r="L48">
        <v>0.2</v>
      </c>
      <c r="M48">
        <v>5.4700000000000001E-5</v>
      </c>
      <c r="N48">
        <v>6.0699999999999998E-5</v>
      </c>
      <c r="O48" s="1">
        <v>0.06</v>
      </c>
      <c r="P48" s="1">
        <v>-0.10929999999999999</v>
      </c>
      <c r="Q48" s="1">
        <f t="shared" si="15"/>
        <v>1.8216666666666665</v>
      </c>
      <c r="S48" t="s">
        <v>9</v>
      </c>
      <c r="T48">
        <v>0.8</v>
      </c>
      <c r="U48">
        <v>0.2</v>
      </c>
      <c r="V48">
        <v>5.4700000000000001E-5</v>
      </c>
      <c r="W48">
        <v>5.9700000000000001E-5</v>
      </c>
      <c r="X48" s="1">
        <v>0.06</v>
      </c>
      <c r="Y48" s="1">
        <v>-9.1399999999999995E-2</v>
      </c>
      <c r="Z48" s="1">
        <f t="shared" si="16"/>
        <v>1.5233333333333332</v>
      </c>
      <c r="AB48" t="s">
        <v>9</v>
      </c>
      <c r="AC48">
        <v>0.8</v>
      </c>
      <c r="AD48">
        <v>0.2</v>
      </c>
      <c r="AE48">
        <v>5.4700000000000001E-5</v>
      </c>
      <c r="AF48">
        <v>5.7599999999999997E-5</v>
      </c>
      <c r="AG48" s="1">
        <v>0.06</v>
      </c>
      <c r="AH48" s="1">
        <v>-5.3199999999999997E-2</v>
      </c>
      <c r="AI48" s="1">
        <f t="shared" si="17"/>
        <v>0.8866666666666666</v>
      </c>
      <c r="AK48" t="s">
        <v>9</v>
      </c>
      <c r="AL48">
        <v>0.8</v>
      </c>
      <c r="AM48">
        <v>0.2</v>
      </c>
      <c r="AN48">
        <v>5.4700000000000001E-5</v>
      </c>
      <c r="AO48">
        <v>6.0600000000000003E-5</v>
      </c>
      <c r="AP48" s="1">
        <v>0.06</v>
      </c>
      <c r="AQ48" s="1">
        <v>-0.1077</v>
      </c>
      <c r="AR48" s="1">
        <f t="shared" si="18"/>
        <v>1.7950000000000002</v>
      </c>
      <c r="AT48" s="12">
        <f t="shared" si="13"/>
        <v>2.1901303388677979E-2</v>
      </c>
      <c r="AU48" s="7">
        <f t="shared" si="19"/>
        <v>-8.7385740402193879E-2</v>
      </c>
    </row>
    <row r="49" spans="1:47" x14ac:dyDescent="0.35">
      <c r="A49" s="17" t="s">
        <v>9</v>
      </c>
      <c r="B49">
        <v>4</v>
      </c>
      <c r="C49">
        <v>0.2</v>
      </c>
      <c r="D49">
        <v>6.2399999999999998E-7</v>
      </c>
      <c r="E49">
        <v>8.6000000000000002E-7</v>
      </c>
      <c r="F49" s="1">
        <v>0.35499999999999998</v>
      </c>
      <c r="G49" s="1">
        <v>-0.37819999999999998</v>
      </c>
      <c r="H49" s="1">
        <f t="shared" si="14"/>
        <v>1.0653521126760563</v>
      </c>
      <c r="J49" t="s">
        <v>9</v>
      </c>
      <c r="K49">
        <v>4</v>
      </c>
      <c r="L49">
        <v>0.2</v>
      </c>
      <c r="M49">
        <v>6.2399999999999998E-7</v>
      </c>
      <c r="N49">
        <v>6.3E-7</v>
      </c>
      <c r="O49" s="1">
        <v>0.35499999999999998</v>
      </c>
      <c r="P49" s="1">
        <v>-9.5999999999999992E-3</v>
      </c>
      <c r="Q49" s="1">
        <f t="shared" si="15"/>
        <v>2.7042253521126759E-2</v>
      </c>
      <c r="S49" t="s">
        <v>9</v>
      </c>
      <c r="T49">
        <v>4</v>
      </c>
      <c r="U49">
        <v>0.2</v>
      </c>
      <c r="V49">
        <v>6.2399999999999998E-7</v>
      </c>
      <c r="W49">
        <v>5.4000000000000002E-7</v>
      </c>
      <c r="X49" s="1">
        <v>0.35499999999999998</v>
      </c>
      <c r="Y49" s="1">
        <v>0.1346</v>
      </c>
      <c r="Z49" s="1">
        <f t="shared" si="16"/>
        <v>0.37915492957746483</v>
      </c>
      <c r="AB49" t="s">
        <v>9</v>
      </c>
      <c r="AC49">
        <v>4</v>
      </c>
      <c r="AD49">
        <v>0.2</v>
      </c>
      <c r="AE49">
        <v>6.2399999999999998E-7</v>
      </c>
      <c r="AF49">
        <v>7.9999999999999996E-7</v>
      </c>
      <c r="AG49" s="1">
        <v>0.35499999999999998</v>
      </c>
      <c r="AH49" s="1">
        <v>-0.28210000000000002</v>
      </c>
      <c r="AI49" s="1">
        <f t="shared" si="17"/>
        <v>0.79464788732394376</v>
      </c>
      <c r="AK49" t="s">
        <v>9</v>
      </c>
      <c r="AL49">
        <v>4</v>
      </c>
      <c r="AM49">
        <v>0.2</v>
      </c>
      <c r="AN49">
        <v>6.2399999999999998E-7</v>
      </c>
      <c r="AO49">
        <v>5.9999999999999997E-7</v>
      </c>
      <c r="AP49" s="1">
        <v>0.35499999999999998</v>
      </c>
      <c r="AQ49" s="1">
        <v>3.85E-2</v>
      </c>
      <c r="AR49" s="1">
        <f t="shared" si="18"/>
        <v>0.10845070422535212</v>
      </c>
      <c r="AT49" s="12">
        <f t="shared" si="13"/>
        <v>0.19976696808310085</v>
      </c>
      <c r="AU49" s="7">
        <f t="shared" si="19"/>
        <v>-9.9358974358974533E-2</v>
      </c>
    </row>
    <row r="50" spans="1:47" x14ac:dyDescent="0.35">
      <c r="A50" s="17" t="s">
        <v>9</v>
      </c>
      <c r="B50">
        <v>8</v>
      </c>
      <c r="C50">
        <v>0.2</v>
      </c>
      <c r="D50">
        <v>4.0199999999999998E-9</v>
      </c>
      <c r="E50">
        <v>0</v>
      </c>
      <c r="F50" s="1">
        <v>0.248</v>
      </c>
      <c r="G50" s="1">
        <v>1</v>
      </c>
      <c r="H50" s="1">
        <f t="shared" si="14"/>
        <v>4.032258064516129</v>
      </c>
      <c r="J50" t="s">
        <v>9</v>
      </c>
      <c r="K50">
        <v>8</v>
      </c>
      <c r="L50">
        <v>0.2</v>
      </c>
      <c r="M50">
        <v>4.0199999999999998E-9</v>
      </c>
      <c r="N50">
        <v>0</v>
      </c>
      <c r="O50" s="1">
        <v>0.248</v>
      </c>
      <c r="P50" s="1">
        <v>1</v>
      </c>
      <c r="Q50" s="1">
        <f t="shared" si="15"/>
        <v>4.032258064516129</v>
      </c>
      <c r="S50" t="s">
        <v>9</v>
      </c>
      <c r="T50">
        <v>8</v>
      </c>
      <c r="U50">
        <v>0.2</v>
      </c>
      <c r="V50">
        <v>4.0199999999999998E-9</v>
      </c>
      <c r="W50">
        <v>2.9999999999999997E-8</v>
      </c>
      <c r="X50" s="1">
        <v>0.248</v>
      </c>
      <c r="Y50" s="1">
        <v>-6.4626999999999999</v>
      </c>
      <c r="Z50" s="1">
        <f t="shared" si="16"/>
        <v>26.059274193548386</v>
      </c>
      <c r="AB50" t="s">
        <v>9</v>
      </c>
      <c r="AC50">
        <v>8</v>
      </c>
      <c r="AD50">
        <v>0.2</v>
      </c>
      <c r="AE50">
        <v>4.0199999999999998E-9</v>
      </c>
      <c r="AF50">
        <v>0</v>
      </c>
      <c r="AG50" s="1">
        <v>0.248</v>
      </c>
      <c r="AH50" s="1">
        <v>1</v>
      </c>
      <c r="AI50" s="1">
        <f t="shared" si="17"/>
        <v>4.032258064516129</v>
      </c>
      <c r="AK50" t="s">
        <v>9</v>
      </c>
      <c r="AL50">
        <v>8</v>
      </c>
      <c r="AM50">
        <v>0.2</v>
      </c>
      <c r="AN50">
        <v>4.0199999999999998E-9</v>
      </c>
      <c r="AO50">
        <v>0</v>
      </c>
      <c r="AP50" s="1">
        <v>0.248</v>
      </c>
      <c r="AQ50" s="1">
        <v>1</v>
      </c>
      <c r="AR50" s="1">
        <f t="shared" si="18"/>
        <v>4.032258064516129</v>
      </c>
      <c r="AT50" s="12">
        <f t="shared" si="13"/>
        <v>2.2360679774997898</v>
      </c>
      <c r="AU50" s="7">
        <f t="shared" si="19"/>
        <v>-0.49253731343283569</v>
      </c>
    </row>
    <row r="51" spans="1:47" x14ac:dyDescent="0.35">
      <c r="A51" s="17" t="s">
        <v>7</v>
      </c>
      <c r="B51">
        <v>0.1</v>
      </c>
      <c r="C51">
        <v>0.9</v>
      </c>
      <c r="D51">
        <v>0.41299999999999998</v>
      </c>
      <c r="E51">
        <v>0.41399999999999998</v>
      </c>
      <c r="F51" s="1">
        <v>1E-3</v>
      </c>
      <c r="G51" s="1">
        <v>-1.2999999999999999E-3</v>
      </c>
      <c r="H51" s="1">
        <f t="shared" si="14"/>
        <v>1.2999999999999998</v>
      </c>
      <c r="J51" t="s">
        <v>7</v>
      </c>
      <c r="K51">
        <v>0.1</v>
      </c>
      <c r="L51">
        <v>0.9</v>
      </c>
      <c r="M51">
        <v>0.41299999999999998</v>
      </c>
      <c r="N51">
        <v>0.41299999999999998</v>
      </c>
      <c r="O51" s="1">
        <v>1E-3</v>
      </c>
      <c r="P51" s="1">
        <v>-1.1999999999999999E-3</v>
      </c>
      <c r="Q51" s="1">
        <f t="shared" si="15"/>
        <v>1.2</v>
      </c>
      <c r="S51" t="s">
        <v>7</v>
      </c>
      <c r="T51">
        <v>0.1</v>
      </c>
      <c r="U51">
        <v>0.9</v>
      </c>
      <c r="V51">
        <v>0.41299999999999998</v>
      </c>
      <c r="W51">
        <v>0.41299999999999998</v>
      </c>
      <c r="X51" s="1">
        <v>1E-3</v>
      </c>
      <c r="Y51" s="1">
        <v>-1.1000000000000001E-3</v>
      </c>
      <c r="Z51" s="1">
        <f t="shared" si="16"/>
        <v>1.1000000000000001</v>
      </c>
      <c r="AB51" t="s">
        <v>7</v>
      </c>
      <c r="AC51">
        <v>0.1</v>
      </c>
      <c r="AD51">
        <v>0.9</v>
      </c>
      <c r="AE51">
        <v>0.41299999999999998</v>
      </c>
      <c r="AF51">
        <v>0.41399999999999998</v>
      </c>
      <c r="AG51" s="1">
        <v>1E-3</v>
      </c>
      <c r="AH51" s="1">
        <v>-1.2999999999999999E-3</v>
      </c>
      <c r="AI51" s="1">
        <f t="shared" si="17"/>
        <v>1.2999999999999998</v>
      </c>
      <c r="AK51" t="s">
        <v>7</v>
      </c>
      <c r="AL51">
        <v>0.1</v>
      </c>
      <c r="AM51">
        <v>0.9</v>
      </c>
      <c r="AN51">
        <v>0.41299999999999998</v>
      </c>
      <c r="AO51">
        <v>0.41299999999999998</v>
      </c>
      <c r="AP51" s="1">
        <v>1E-3</v>
      </c>
      <c r="AQ51" s="1">
        <v>-1.1000000000000001E-3</v>
      </c>
      <c r="AR51" s="1">
        <f t="shared" si="18"/>
        <v>1.1000000000000001</v>
      </c>
      <c r="AT51" s="12">
        <f t="shared" si="13"/>
        <v>1.3249215227507656E-3</v>
      </c>
      <c r="AU51" s="7">
        <f t="shared" si="19"/>
        <v>-9.6852300242146971E-4</v>
      </c>
    </row>
    <row r="52" spans="1:47" x14ac:dyDescent="0.35">
      <c r="A52" s="17" t="s">
        <v>7</v>
      </c>
      <c r="B52">
        <v>0.5</v>
      </c>
      <c r="C52">
        <v>0.9</v>
      </c>
      <c r="D52">
        <v>0.187</v>
      </c>
      <c r="E52">
        <v>0.187</v>
      </c>
      <c r="F52" s="1">
        <v>5.0000000000000001E-3</v>
      </c>
      <c r="G52" s="1">
        <v>-1.8E-3</v>
      </c>
      <c r="H52" s="1">
        <f t="shared" si="14"/>
        <v>0.36</v>
      </c>
      <c r="J52" t="s">
        <v>7</v>
      </c>
      <c r="K52">
        <v>0.5</v>
      </c>
      <c r="L52">
        <v>0.9</v>
      </c>
      <c r="M52">
        <v>0.187</v>
      </c>
      <c r="N52">
        <v>0.187</v>
      </c>
      <c r="O52" s="1">
        <v>5.0000000000000001E-3</v>
      </c>
      <c r="P52" s="1">
        <v>-1.5E-3</v>
      </c>
      <c r="Q52" s="1">
        <f t="shared" si="15"/>
        <v>0.3</v>
      </c>
      <c r="S52" t="s">
        <v>7</v>
      </c>
      <c r="T52">
        <v>0.5</v>
      </c>
      <c r="U52">
        <v>0.9</v>
      </c>
      <c r="V52">
        <v>0.187</v>
      </c>
      <c r="W52">
        <v>0.187</v>
      </c>
      <c r="X52" s="1">
        <v>5.0000000000000001E-3</v>
      </c>
      <c r="Y52" s="1">
        <v>-1.6999999999999999E-3</v>
      </c>
      <c r="Z52" s="1">
        <f t="shared" si="16"/>
        <v>0.33999999999999997</v>
      </c>
      <c r="AB52" t="s">
        <v>7</v>
      </c>
      <c r="AC52">
        <v>0.5</v>
      </c>
      <c r="AD52">
        <v>0.9</v>
      </c>
      <c r="AE52">
        <v>0.187</v>
      </c>
      <c r="AF52">
        <v>0.187</v>
      </c>
      <c r="AG52" s="1">
        <v>5.0000000000000001E-3</v>
      </c>
      <c r="AH52" s="1">
        <v>-1.6999999999999999E-3</v>
      </c>
      <c r="AI52" s="1">
        <f t="shared" si="17"/>
        <v>0.33999999999999997</v>
      </c>
      <c r="AK52" t="s">
        <v>7</v>
      </c>
      <c r="AL52">
        <v>0.5</v>
      </c>
      <c r="AM52">
        <v>0.9</v>
      </c>
      <c r="AN52">
        <v>0.187</v>
      </c>
      <c r="AO52">
        <v>0.187</v>
      </c>
      <c r="AP52" s="1">
        <v>5.0000000000000001E-3</v>
      </c>
      <c r="AQ52" s="1">
        <v>-1.6000000000000001E-3</v>
      </c>
      <c r="AR52" s="1">
        <f t="shared" si="18"/>
        <v>0.32</v>
      </c>
      <c r="AT52" s="12">
        <f t="shared" si="13"/>
        <v>0</v>
      </c>
      <c r="AU52" s="7">
        <f t="shared" si="19"/>
        <v>0</v>
      </c>
    </row>
    <row r="53" spans="1:47" x14ac:dyDescent="0.35">
      <c r="A53" s="17" t="s">
        <v>7</v>
      </c>
      <c r="B53">
        <v>1</v>
      </c>
      <c r="C53">
        <v>0.9</v>
      </c>
      <c r="D53">
        <v>6.8500000000000005E-2</v>
      </c>
      <c r="E53">
        <v>6.8699999999999997E-2</v>
      </c>
      <c r="F53" s="1">
        <v>0.01</v>
      </c>
      <c r="G53" s="1">
        <v>-3.0000000000000001E-3</v>
      </c>
      <c r="H53" s="1">
        <f t="shared" si="14"/>
        <v>0.3</v>
      </c>
      <c r="J53" t="s">
        <v>7</v>
      </c>
      <c r="K53">
        <v>1</v>
      </c>
      <c r="L53">
        <v>0.9</v>
      </c>
      <c r="M53">
        <v>6.8500000000000005E-2</v>
      </c>
      <c r="N53">
        <v>6.8699999999999997E-2</v>
      </c>
      <c r="O53" s="1">
        <v>0.01</v>
      </c>
      <c r="P53" s="1">
        <v>-2.8999999999999998E-3</v>
      </c>
      <c r="Q53" s="1">
        <f t="shared" si="15"/>
        <v>0.28999999999999998</v>
      </c>
      <c r="S53" t="s">
        <v>7</v>
      </c>
      <c r="T53">
        <v>1</v>
      </c>
      <c r="U53">
        <v>0.9</v>
      </c>
      <c r="V53">
        <v>6.8500000000000005E-2</v>
      </c>
      <c r="W53">
        <v>6.8699999999999997E-2</v>
      </c>
      <c r="X53" s="1">
        <v>0.01</v>
      </c>
      <c r="Y53" s="1">
        <v>-2.8999999999999998E-3</v>
      </c>
      <c r="Z53" s="1">
        <f t="shared" si="16"/>
        <v>0.28999999999999998</v>
      </c>
      <c r="AB53" t="s">
        <v>7</v>
      </c>
      <c r="AC53">
        <v>1</v>
      </c>
      <c r="AD53">
        <v>0.9</v>
      </c>
      <c r="AE53">
        <v>6.8500000000000005E-2</v>
      </c>
      <c r="AF53">
        <v>6.8699999999999997E-2</v>
      </c>
      <c r="AG53" s="1">
        <v>0.01</v>
      </c>
      <c r="AH53" s="1">
        <v>-3.0000000000000001E-3</v>
      </c>
      <c r="AI53" s="1">
        <f t="shared" si="17"/>
        <v>0.3</v>
      </c>
      <c r="AK53" t="s">
        <v>7</v>
      </c>
      <c r="AL53">
        <v>1</v>
      </c>
      <c r="AM53">
        <v>0.9</v>
      </c>
      <c r="AN53">
        <v>6.8500000000000005E-2</v>
      </c>
      <c r="AO53">
        <v>6.8699999999999997E-2</v>
      </c>
      <c r="AP53" s="1">
        <v>0.01</v>
      </c>
      <c r="AQ53" s="1">
        <v>-2.7000000000000001E-3</v>
      </c>
      <c r="AR53" s="1">
        <f t="shared" si="18"/>
        <v>0.27</v>
      </c>
      <c r="AT53" s="12">
        <f t="shared" si="13"/>
        <v>0</v>
      </c>
      <c r="AU53" s="7">
        <f t="shared" si="19"/>
        <v>-2.9197080291969613E-3</v>
      </c>
    </row>
    <row r="54" spans="1:47" x14ac:dyDescent="0.35">
      <c r="A54" s="17" t="s">
        <v>8</v>
      </c>
      <c r="B54">
        <v>0.1</v>
      </c>
      <c r="C54">
        <v>0.9</v>
      </c>
      <c r="D54">
        <v>9.3100000000000002E-2</v>
      </c>
      <c r="E54">
        <v>8.9499999999999996E-2</v>
      </c>
      <c r="F54" s="1">
        <v>2.1000000000000001E-2</v>
      </c>
      <c r="G54" s="1">
        <v>3.9199999999999999E-2</v>
      </c>
      <c r="H54" s="1">
        <f t="shared" si="14"/>
        <v>1.8666666666666665</v>
      </c>
      <c r="J54" t="s">
        <v>8</v>
      </c>
      <c r="K54">
        <v>0.1</v>
      </c>
      <c r="L54">
        <v>0.9</v>
      </c>
      <c r="M54">
        <v>9.3100000000000002E-2</v>
      </c>
      <c r="N54">
        <v>8.9399999999999993E-2</v>
      </c>
      <c r="O54" s="1">
        <v>2.1000000000000001E-2</v>
      </c>
      <c r="P54" s="1">
        <v>3.9399999999999998E-2</v>
      </c>
      <c r="Q54" s="1">
        <f t="shared" si="15"/>
        <v>1.876190476190476</v>
      </c>
      <c r="S54" t="s">
        <v>8</v>
      </c>
      <c r="T54">
        <v>0.1</v>
      </c>
      <c r="U54">
        <v>0.9</v>
      </c>
      <c r="V54">
        <v>9.3100000000000002E-2</v>
      </c>
      <c r="W54">
        <v>8.9499999999999996E-2</v>
      </c>
      <c r="X54" s="1">
        <v>2.1000000000000001E-2</v>
      </c>
      <c r="Y54" s="1">
        <v>3.8800000000000001E-2</v>
      </c>
      <c r="Z54" s="1">
        <f t="shared" si="16"/>
        <v>1.8476190476190475</v>
      </c>
      <c r="AB54" t="s">
        <v>8</v>
      </c>
      <c r="AC54">
        <v>0.1</v>
      </c>
      <c r="AD54">
        <v>0.9</v>
      </c>
      <c r="AE54">
        <v>9.3100000000000002E-2</v>
      </c>
      <c r="AF54">
        <v>8.9300000000000004E-2</v>
      </c>
      <c r="AG54" s="1">
        <v>2.1000000000000001E-2</v>
      </c>
      <c r="AH54" s="1">
        <v>4.1200000000000001E-2</v>
      </c>
      <c r="AI54" s="1">
        <f t="shared" si="17"/>
        <v>1.9619047619047618</v>
      </c>
      <c r="AK54" t="s">
        <v>8</v>
      </c>
      <c r="AL54">
        <v>0.1</v>
      </c>
      <c r="AM54">
        <v>0.9</v>
      </c>
      <c r="AN54">
        <v>9.3100000000000002E-2</v>
      </c>
      <c r="AO54">
        <v>8.9300000000000004E-2</v>
      </c>
      <c r="AP54" s="1">
        <v>2.1000000000000001E-2</v>
      </c>
      <c r="AQ54" s="1">
        <v>4.0599999999999997E-2</v>
      </c>
      <c r="AR54" s="1">
        <f t="shared" si="18"/>
        <v>1.9333333333333331</v>
      </c>
      <c r="AT54" s="12">
        <f t="shared" si="13"/>
        <v>1.1185682326621468E-3</v>
      </c>
      <c r="AU54" s="7">
        <f t="shared" si="19"/>
        <v>3.9742212674543594E-2</v>
      </c>
    </row>
    <row r="55" spans="1:47" x14ac:dyDescent="0.35">
      <c r="A55" s="17" t="s">
        <v>8</v>
      </c>
      <c r="B55">
        <v>0.5</v>
      </c>
      <c r="C55">
        <v>0.9</v>
      </c>
      <c r="D55">
        <v>4.6300000000000001E-2</v>
      </c>
      <c r="E55">
        <v>4.41E-2</v>
      </c>
      <c r="F55" s="1">
        <v>1.7000000000000001E-2</v>
      </c>
      <c r="G55" s="1">
        <v>4.8300000000000003E-2</v>
      </c>
      <c r="H55" s="1">
        <f t="shared" si="14"/>
        <v>2.8411764705882354</v>
      </c>
      <c r="J55" t="s">
        <v>8</v>
      </c>
      <c r="K55">
        <v>0.5</v>
      </c>
      <c r="L55">
        <v>0.9</v>
      </c>
      <c r="M55">
        <v>4.6300000000000001E-2</v>
      </c>
      <c r="N55">
        <v>4.4299999999999999E-2</v>
      </c>
      <c r="O55" s="1">
        <v>1.7000000000000001E-2</v>
      </c>
      <c r="P55" s="1">
        <v>4.41E-2</v>
      </c>
      <c r="Q55" s="1">
        <f t="shared" si="15"/>
        <v>2.5941176470588232</v>
      </c>
      <c r="S55" t="s">
        <v>8</v>
      </c>
      <c r="T55">
        <v>0.5</v>
      </c>
      <c r="U55">
        <v>0.9</v>
      </c>
      <c r="V55">
        <v>4.6300000000000001E-2</v>
      </c>
      <c r="W55">
        <v>4.4299999999999999E-2</v>
      </c>
      <c r="X55" s="1">
        <v>1.7000000000000001E-2</v>
      </c>
      <c r="Y55" s="1">
        <v>4.3799999999999999E-2</v>
      </c>
      <c r="Z55" s="1">
        <f t="shared" si="16"/>
        <v>2.5764705882352938</v>
      </c>
      <c r="AB55" t="s">
        <v>8</v>
      </c>
      <c r="AC55">
        <v>0.5</v>
      </c>
      <c r="AD55">
        <v>0.9</v>
      </c>
      <c r="AE55">
        <v>4.6300000000000001E-2</v>
      </c>
      <c r="AF55">
        <v>4.4200000000000003E-2</v>
      </c>
      <c r="AG55" s="1">
        <v>1.7000000000000001E-2</v>
      </c>
      <c r="AH55" s="1">
        <v>4.6300000000000001E-2</v>
      </c>
      <c r="AI55" s="1">
        <f t="shared" si="17"/>
        <v>2.7235294117647055</v>
      </c>
      <c r="AK55" t="s">
        <v>8</v>
      </c>
      <c r="AL55">
        <v>0.5</v>
      </c>
      <c r="AM55">
        <v>0.9</v>
      </c>
      <c r="AN55">
        <v>4.6300000000000001E-2</v>
      </c>
      <c r="AO55">
        <v>4.4200000000000003E-2</v>
      </c>
      <c r="AP55" s="1">
        <v>1.7000000000000001E-2</v>
      </c>
      <c r="AQ55" s="1">
        <v>4.6199999999999998E-2</v>
      </c>
      <c r="AR55" s="1">
        <f t="shared" si="18"/>
        <v>2.7176470588235291</v>
      </c>
      <c r="AT55" s="12">
        <f t="shared" si="13"/>
        <v>1.8920398609996976E-3</v>
      </c>
      <c r="AU55" s="7">
        <f t="shared" si="19"/>
        <v>4.4924406047516165E-2</v>
      </c>
    </row>
    <row r="56" spans="1:47" x14ac:dyDescent="0.35">
      <c r="A56" s="17" t="s">
        <v>8</v>
      </c>
      <c r="B56">
        <v>1</v>
      </c>
      <c r="C56">
        <v>0.9</v>
      </c>
      <c r="D56">
        <v>1.6500000000000001E-2</v>
      </c>
      <c r="E56">
        <v>1.5699999999999999E-2</v>
      </c>
      <c r="F56" s="1">
        <v>1.4E-2</v>
      </c>
      <c r="G56" s="1">
        <v>4.87E-2</v>
      </c>
      <c r="H56" s="1">
        <f t="shared" si="14"/>
        <v>3.4785714285714286</v>
      </c>
      <c r="J56" t="s">
        <v>8</v>
      </c>
      <c r="K56">
        <v>1</v>
      </c>
      <c r="L56">
        <v>0.9</v>
      </c>
      <c r="M56">
        <v>1.6500000000000001E-2</v>
      </c>
      <c r="N56">
        <v>1.5800000000000002E-2</v>
      </c>
      <c r="O56" s="1">
        <v>1.4E-2</v>
      </c>
      <c r="P56" s="1">
        <v>4.2900000000000001E-2</v>
      </c>
      <c r="Q56" s="1">
        <f t="shared" si="15"/>
        <v>3.0642857142857141</v>
      </c>
      <c r="S56" t="s">
        <v>8</v>
      </c>
      <c r="T56">
        <v>1</v>
      </c>
      <c r="U56">
        <v>0.9</v>
      </c>
      <c r="V56">
        <v>1.6500000000000001E-2</v>
      </c>
      <c r="W56">
        <v>1.5699999999999999E-2</v>
      </c>
      <c r="X56" s="1">
        <v>1.4E-2</v>
      </c>
      <c r="Y56" s="1">
        <v>4.8000000000000001E-2</v>
      </c>
      <c r="Z56" s="1">
        <f t="shared" si="16"/>
        <v>3.4285714285714284</v>
      </c>
      <c r="AB56" t="s">
        <v>8</v>
      </c>
      <c r="AC56">
        <v>1</v>
      </c>
      <c r="AD56">
        <v>0.9</v>
      </c>
      <c r="AE56">
        <v>1.6500000000000001E-2</v>
      </c>
      <c r="AF56">
        <v>1.5800000000000002E-2</v>
      </c>
      <c r="AG56" s="1">
        <v>1.4E-2</v>
      </c>
      <c r="AH56" s="1">
        <v>4.36E-2</v>
      </c>
      <c r="AI56" s="1">
        <f t="shared" si="17"/>
        <v>3.1142857142857143</v>
      </c>
      <c r="AK56" t="s">
        <v>8</v>
      </c>
      <c r="AL56">
        <v>1</v>
      </c>
      <c r="AM56">
        <v>0.9</v>
      </c>
      <c r="AN56">
        <v>1.6500000000000001E-2</v>
      </c>
      <c r="AO56">
        <v>1.5699999999999999E-2</v>
      </c>
      <c r="AP56" s="1">
        <v>1.4E-2</v>
      </c>
      <c r="AQ56" s="1">
        <v>4.5499999999999999E-2</v>
      </c>
      <c r="AR56" s="1">
        <f t="shared" si="18"/>
        <v>3.25</v>
      </c>
      <c r="AT56" s="12">
        <f t="shared" si="13"/>
        <v>3.4798129447597323E-3</v>
      </c>
      <c r="AU56" s="7">
        <f t="shared" si="19"/>
        <v>4.6060606060606288E-2</v>
      </c>
    </row>
    <row r="57" spans="1:47" x14ac:dyDescent="0.35">
      <c r="A57" s="17" t="s">
        <v>9</v>
      </c>
      <c r="B57">
        <v>0.1</v>
      </c>
      <c r="C57">
        <v>0.9</v>
      </c>
      <c r="D57">
        <v>6.9899999999999997E-3</v>
      </c>
      <c r="E57">
        <v>7.0699999999999999E-3</v>
      </c>
      <c r="F57" s="1">
        <v>6.3E-2</v>
      </c>
      <c r="G57" s="1">
        <v>-1.14E-2</v>
      </c>
      <c r="H57" s="1">
        <f t="shared" si="14"/>
        <v>0.18095238095238095</v>
      </c>
      <c r="J57" t="s">
        <v>9</v>
      </c>
      <c r="K57">
        <v>0.1</v>
      </c>
      <c r="L57">
        <v>0.9</v>
      </c>
      <c r="M57">
        <v>6.9899999999999997E-3</v>
      </c>
      <c r="N57">
        <v>7.0899999999999999E-3</v>
      </c>
      <c r="O57" s="1">
        <v>6.3E-2</v>
      </c>
      <c r="P57" s="1">
        <v>-1.44E-2</v>
      </c>
      <c r="Q57" s="1">
        <f t="shared" si="15"/>
        <v>0.22857142857142856</v>
      </c>
      <c r="S57" t="s">
        <v>9</v>
      </c>
      <c r="T57">
        <v>0.1</v>
      </c>
      <c r="U57">
        <v>0.9</v>
      </c>
      <c r="V57">
        <v>6.9899999999999997E-3</v>
      </c>
      <c r="W57">
        <v>7.0800000000000004E-3</v>
      </c>
      <c r="X57" s="1">
        <v>6.3E-2</v>
      </c>
      <c r="Y57" s="1">
        <v>-1.26E-2</v>
      </c>
      <c r="Z57" s="1">
        <f t="shared" si="16"/>
        <v>0.2</v>
      </c>
      <c r="AB57" t="s">
        <v>9</v>
      </c>
      <c r="AC57">
        <v>0.1</v>
      </c>
      <c r="AD57">
        <v>0.9</v>
      </c>
      <c r="AE57">
        <v>6.9899999999999997E-3</v>
      </c>
      <c r="AF57">
        <v>7.0800000000000004E-3</v>
      </c>
      <c r="AG57" s="1">
        <v>6.3E-2</v>
      </c>
      <c r="AH57" s="1">
        <v>-1.3100000000000001E-2</v>
      </c>
      <c r="AI57" s="1">
        <f t="shared" si="17"/>
        <v>0.20793650793650795</v>
      </c>
      <c r="AK57" t="s">
        <v>9</v>
      </c>
      <c r="AL57">
        <v>0.1</v>
      </c>
      <c r="AM57">
        <v>0.9</v>
      </c>
      <c r="AN57">
        <v>6.9899999999999997E-3</v>
      </c>
      <c r="AO57">
        <v>7.0800000000000004E-3</v>
      </c>
      <c r="AP57" s="1">
        <v>6.3E-2</v>
      </c>
      <c r="AQ57" s="1">
        <v>-1.24E-2</v>
      </c>
      <c r="AR57" s="1">
        <f t="shared" si="18"/>
        <v>0.19682539682539682</v>
      </c>
      <c r="AT57" s="12">
        <f t="shared" si="13"/>
        <v>9.9873839150642547E-4</v>
      </c>
      <c r="AU57" s="7">
        <f t="shared" si="19"/>
        <v>-1.2875536480686792E-2</v>
      </c>
    </row>
    <row r="58" spans="1:47" x14ac:dyDescent="0.35">
      <c r="A58" s="17" t="s">
        <v>9</v>
      </c>
      <c r="B58">
        <v>0.5</v>
      </c>
      <c r="C58">
        <v>0.9</v>
      </c>
      <c r="D58">
        <v>3.29E-3</v>
      </c>
      <c r="E58">
        <v>3.2299999999999998E-3</v>
      </c>
      <c r="F58" s="1">
        <v>5.5E-2</v>
      </c>
      <c r="G58" s="1">
        <v>1.6899999999999998E-2</v>
      </c>
      <c r="H58" s="1">
        <f t="shared" si="14"/>
        <v>0.30727272727272725</v>
      </c>
      <c r="J58" t="s">
        <v>9</v>
      </c>
      <c r="K58">
        <v>0.5</v>
      </c>
      <c r="L58">
        <v>0.9</v>
      </c>
      <c r="M58">
        <v>3.29E-3</v>
      </c>
      <c r="N58">
        <v>3.2499999999999999E-3</v>
      </c>
      <c r="O58" s="1">
        <v>5.5E-2</v>
      </c>
      <c r="P58" s="1">
        <v>1.34E-2</v>
      </c>
      <c r="Q58" s="1">
        <f t="shared" si="15"/>
        <v>0.24363636363636365</v>
      </c>
      <c r="S58" t="s">
        <v>9</v>
      </c>
      <c r="T58">
        <v>0.5</v>
      </c>
      <c r="U58">
        <v>0.9</v>
      </c>
      <c r="V58">
        <v>3.29E-3</v>
      </c>
      <c r="W58">
        <v>3.2200000000000002E-3</v>
      </c>
      <c r="X58" s="1">
        <v>5.5E-2</v>
      </c>
      <c r="Y58" s="1">
        <v>2.2599999999999999E-2</v>
      </c>
      <c r="Z58" s="1">
        <f t="shared" si="16"/>
        <v>0.41090909090909089</v>
      </c>
      <c r="AB58" t="s">
        <v>9</v>
      </c>
      <c r="AC58">
        <v>0.5</v>
      </c>
      <c r="AD58">
        <v>0.9</v>
      </c>
      <c r="AE58">
        <v>3.29E-3</v>
      </c>
      <c r="AF58">
        <v>3.2399999999999998E-3</v>
      </c>
      <c r="AG58" s="1">
        <v>5.5E-2</v>
      </c>
      <c r="AH58" s="1">
        <v>1.43E-2</v>
      </c>
      <c r="AI58" s="1">
        <f t="shared" si="17"/>
        <v>0.26</v>
      </c>
      <c r="AK58" t="s">
        <v>9</v>
      </c>
      <c r="AL58">
        <v>0.5</v>
      </c>
      <c r="AM58">
        <v>0.9</v>
      </c>
      <c r="AN58">
        <v>3.29E-3</v>
      </c>
      <c r="AO58">
        <v>3.2200000000000002E-3</v>
      </c>
      <c r="AP58" s="1">
        <v>5.5E-2</v>
      </c>
      <c r="AQ58" s="1">
        <v>2.07E-2</v>
      </c>
      <c r="AR58" s="1">
        <f t="shared" si="18"/>
        <v>0.37636363636363634</v>
      </c>
      <c r="AT58" s="12">
        <f t="shared" si="13"/>
        <v>4.0341599042095083E-3</v>
      </c>
      <c r="AU58" s="7">
        <f t="shared" si="19"/>
        <v>1.7629179331306959E-2</v>
      </c>
    </row>
    <row r="59" spans="1:47" x14ac:dyDescent="0.35">
      <c r="A59" s="17" t="s">
        <v>9</v>
      </c>
      <c r="B59">
        <v>1</v>
      </c>
      <c r="C59">
        <v>0.9</v>
      </c>
      <c r="D59">
        <v>1.2099999999999999E-3</v>
      </c>
      <c r="E59">
        <v>1.17E-3</v>
      </c>
      <c r="F59" s="1">
        <v>0.109</v>
      </c>
      <c r="G59" s="1">
        <v>3.5700000000000003E-2</v>
      </c>
      <c r="H59" s="1">
        <f t="shared" si="14"/>
        <v>0.32752293577981656</v>
      </c>
      <c r="J59" t="s">
        <v>9</v>
      </c>
      <c r="K59">
        <v>1</v>
      </c>
      <c r="L59">
        <v>0.9</v>
      </c>
      <c r="M59">
        <v>1.2099999999999999E-3</v>
      </c>
      <c r="N59">
        <v>1.1800000000000001E-3</v>
      </c>
      <c r="O59" s="1">
        <v>0.109</v>
      </c>
      <c r="P59" s="1">
        <v>2.8799999999999999E-2</v>
      </c>
      <c r="Q59" s="1">
        <f t="shared" si="15"/>
        <v>0.26422018348623855</v>
      </c>
      <c r="S59" t="s">
        <v>9</v>
      </c>
      <c r="T59">
        <v>1</v>
      </c>
      <c r="U59">
        <v>0.9</v>
      </c>
      <c r="V59">
        <v>1.2099999999999999E-3</v>
      </c>
      <c r="W59">
        <v>1.1800000000000001E-3</v>
      </c>
      <c r="X59" s="1">
        <v>0.109</v>
      </c>
      <c r="Y59" s="1">
        <v>2.7199999999999998E-2</v>
      </c>
      <c r="Z59" s="1">
        <f t="shared" si="16"/>
        <v>0.24954128440366971</v>
      </c>
      <c r="AB59" t="s">
        <v>9</v>
      </c>
      <c r="AC59">
        <v>1</v>
      </c>
      <c r="AD59">
        <v>0.9</v>
      </c>
      <c r="AE59">
        <v>1.2099999999999999E-3</v>
      </c>
      <c r="AF59">
        <v>1.1800000000000001E-3</v>
      </c>
      <c r="AG59" s="1">
        <v>0.109</v>
      </c>
      <c r="AH59" s="1">
        <v>2.3099999999999999E-2</v>
      </c>
      <c r="AI59" s="1">
        <f t="shared" si="17"/>
        <v>0.21192660550458714</v>
      </c>
      <c r="AK59" t="s">
        <v>9</v>
      </c>
      <c r="AL59">
        <v>1</v>
      </c>
      <c r="AM59">
        <v>0.9</v>
      </c>
      <c r="AN59">
        <v>1.2099999999999999E-3</v>
      </c>
      <c r="AO59">
        <v>1.17E-3</v>
      </c>
      <c r="AP59" s="1">
        <v>0.109</v>
      </c>
      <c r="AQ59" s="1">
        <v>3.5099999999999999E-2</v>
      </c>
      <c r="AR59" s="1">
        <f t="shared" si="18"/>
        <v>0.3220183486238532</v>
      </c>
      <c r="AT59" s="12">
        <f>STDEV(AO59,AF59,W59,N59,E59)/ AVERAGE(AO59,AF59,W59,N59,E59)</f>
        <v>4.6575047406901991E-3</v>
      </c>
      <c r="AU59" s="7">
        <f t="shared" si="19"/>
        <v>2.8099173553718798E-2</v>
      </c>
    </row>
    <row r="61" spans="1:47" x14ac:dyDescent="0.35">
      <c r="A61" s="6" t="s">
        <v>12</v>
      </c>
      <c r="B61" s="6"/>
      <c r="C61" s="6"/>
      <c r="D61" s="6"/>
      <c r="E61" s="6"/>
      <c r="F61" s="6"/>
      <c r="G61" s="6"/>
      <c r="H61" s="6"/>
      <c r="AN61" s="6" t="s">
        <v>12</v>
      </c>
      <c r="AO61" s="6"/>
      <c r="AP61" s="6"/>
      <c r="AQ61" s="6"/>
      <c r="AR61" s="6"/>
      <c r="AS61" s="6"/>
      <c r="AT61" s="6"/>
      <c r="AU61" s="6"/>
    </row>
    <row r="62" spans="1:47" x14ac:dyDescent="0.35">
      <c r="A62" s="17" t="s">
        <v>0</v>
      </c>
      <c r="B62" t="s">
        <v>1</v>
      </c>
      <c r="C62" t="s">
        <v>2</v>
      </c>
      <c r="D62" t="s">
        <v>3</v>
      </c>
      <c r="E62" t="s">
        <v>4</v>
      </c>
      <c r="F62" t="s">
        <v>5</v>
      </c>
      <c r="G62" t="s">
        <v>6</v>
      </c>
      <c r="J62" t="s">
        <v>0</v>
      </c>
      <c r="K62" t="s">
        <v>1</v>
      </c>
      <c r="L62" t="s">
        <v>2</v>
      </c>
      <c r="M62" t="s">
        <v>3</v>
      </c>
      <c r="N62" t="s">
        <v>4</v>
      </c>
      <c r="O62" t="s">
        <v>5</v>
      </c>
      <c r="P62" t="s">
        <v>6</v>
      </c>
      <c r="S62" t="s">
        <v>0</v>
      </c>
      <c r="T62" t="s">
        <v>1</v>
      </c>
      <c r="U62" t="s">
        <v>2</v>
      </c>
      <c r="V62" t="s">
        <v>3</v>
      </c>
      <c r="W62" t="s">
        <v>4</v>
      </c>
      <c r="X62" t="s">
        <v>5</v>
      </c>
      <c r="Y62" t="s">
        <v>6</v>
      </c>
      <c r="AB62" t="s">
        <v>0</v>
      </c>
      <c r="AC62" t="s">
        <v>1</v>
      </c>
      <c r="AD62" t="s">
        <v>2</v>
      </c>
      <c r="AE62" t="s">
        <v>3</v>
      </c>
      <c r="AF62" t="s">
        <v>4</v>
      </c>
      <c r="AG62" t="s">
        <v>5</v>
      </c>
      <c r="AH62" t="s">
        <v>6</v>
      </c>
      <c r="AK62" t="s">
        <v>0</v>
      </c>
      <c r="AL62" t="s">
        <v>1</v>
      </c>
      <c r="AM62" t="s">
        <v>2</v>
      </c>
      <c r="AN62" t="s">
        <v>3</v>
      </c>
      <c r="AO62" t="s">
        <v>4</v>
      </c>
      <c r="AP62" t="s">
        <v>5</v>
      </c>
      <c r="AQ62" t="s">
        <v>6</v>
      </c>
      <c r="AR62" s="1"/>
      <c r="AT62" s="15"/>
    </row>
    <row r="63" spans="1:47" x14ac:dyDescent="0.35">
      <c r="A63" s="17" t="s">
        <v>7</v>
      </c>
      <c r="B63">
        <v>0.8</v>
      </c>
      <c r="C63">
        <v>0.2</v>
      </c>
      <c r="D63">
        <v>0.16200000000000001</v>
      </c>
      <c r="E63">
        <v>0.16200000000000001</v>
      </c>
      <c r="F63" s="1">
        <v>0</v>
      </c>
      <c r="G63" s="1">
        <v>-5.0000000000000001E-4</v>
      </c>
      <c r="H63" s="1" t="e">
        <f>ABS(G63/F63)</f>
        <v>#DIV/0!</v>
      </c>
      <c r="J63" t="s">
        <v>7</v>
      </c>
      <c r="K63">
        <v>0.8</v>
      </c>
      <c r="L63">
        <v>0.2</v>
      </c>
      <c r="M63">
        <v>0.16200000000000001</v>
      </c>
      <c r="N63">
        <v>0.16200000000000001</v>
      </c>
      <c r="O63" s="1">
        <v>0</v>
      </c>
      <c r="P63" s="1">
        <v>-8.0000000000000004E-4</v>
      </c>
      <c r="Q63" s="1" t="e">
        <f>ABS(P63/O63)</f>
        <v>#DIV/0!</v>
      </c>
      <c r="S63" t="s">
        <v>7</v>
      </c>
      <c r="T63">
        <v>0.8</v>
      </c>
      <c r="U63">
        <v>0.2</v>
      </c>
      <c r="V63">
        <v>0.16200000000000001</v>
      </c>
      <c r="W63">
        <v>0.16200000000000001</v>
      </c>
      <c r="X63" s="1">
        <v>0</v>
      </c>
      <c r="Y63" s="1">
        <v>-5.9999999999999995E-4</v>
      </c>
      <c r="Z63" s="1" t="e">
        <f>ABS(Y63/X63)</f>
        <v>#DIV/0!</v>
      </c>
      <c r="AB63" t="s">
        <v>7</v>
      </c>
      <c r="AC63">
        <v>0.8</v>
      </c>
      <c r="AD63">
        <v>0.2</v>
      </c>
      <c r="AE63">
        <v>0.16200000000000001</v>
      </c>
      <c r="AF63">
        <v>0.16200000000000001</v>
      </c>
      <c r="AG63" s="1">
        <v>0</v>
      </c>
      <c r="AH63" s="1">
        <v>-8.9999999999999998E-4</v>
      </c>
      <c r="AI63" s="1" t="e">
        <f>ABS(AH63/AG63)</f>
        <v>#DIV/0!</v>
      </c>
      <c r="AK63" t="s">
        <v>7</v>
      </c>
      <c r="AL63">
        <v>0.8</v>
      </c>
      <c r="AM63">
        <v>0.2</v>
      </c>
      <c r="AN63">
        <v>0.16200000000000001</v>
      </c>
      <c r="AO63">
        <v>0.16200000000000001</v>
      </c>
      <c r="AP63" s="1">
        <v>0</v>
      </c>
      <c r="AQ63" s="1">
        <v>0</v>
      </c>
      <c r="AR63" s="1" t="e">
        <f t="shared" ref="AR63:AR80" si="20">ABS(AQ63/AP63)</f>
        <v>#DIV/0!</v>
      </c>
      <c r="AT63" s="12">
        <f t="shared" ref="AT63:AT79" si="21">STDEV(AO63,AF63,W63,N63,E63)/ AVERAGE(AO63,AF63,W63,N63,E63)</f>
        <v>0</v>
      </c>
      <c r="AU63" s="7">
        <f>( D63 - AVERAGE(AO63,AF63,W63,N63,E63))/ D63</f>
        <v>0</v>
      </c>
    </row>
    <row r="64" spans="1:47" x14ac:dyDescent="0.35">
      <c r="A64" s="17" t="s">
        <v>7</v>
      </c>
      <c r="B64">
        <v>4</v>
      </c>
      <c r="C64">
        <v>0.2</v>
      </c>
      <c r="D64">
        <v>2.2699999999999999E-3</v>
      </c>
      <c r="E64">
        <v>2.2799999999999999E-3</v>
      </c>
      <c r="F64" s="1">
        <v>2E-3</v>
      </c>
      <c r="G64" s="1">
        <v>-5.0000000000000001E-3</v>
      </c>
      <c r="H64" s="1">
        <f t="shared" ref="H64:H80" si="22">ABS(G64/F64)</f>
        <v>2.5</v>
      </c>
      <c r="J64" t="s">
        <v>7</v>
      </c>
      <c r="K64">
        <v>4</v>
      </c>
      <c r="L64">
        <v>0.2</v>
      </c>
      <c r="M64">
        <v>2.2699999999999999E-3</v>
      </c>
      <c r="N64">
        <v>2.2799999999999999E-3</v>
      </c>
      <c r="O64" s="1">
        <v>2E-3</v>
      </c>
      <c r="P64" s="1">
        <v>-4.7999999999999996E-3</v>
      </c>
      <c r="Q64" s="1">
        <f t="shared" ref="Q64:Q80" si="23">ABS(P64/O64)</f>
        <v>2.4</v>
      </c>
      <c r="S64" t="s">
        <v>7</v>
      </c>
      <c r="T64">
        <v>4</v>
      </c>
      <c r="U64">
        <v>0.2</v>
      </c>
      <c r="V64">
        <v>2.2699999999999999E-3</v>
      </c>
      <c r="W64">
        <v>2.2699999999999999E-3</v>
      </c>
      <c r="X64" s="1">
        <v>2E-3</v>
      </c>
      <c r="Y64" s="1">
        <v>-1.5E-3</v>
      </c>
      <c r="Z64" s="1">
        <f t="shared" ref="Z64:Z80" si="24">ABS(Y64/X64)</f>
        <v>0.75</v>
      </c>
      <c r="AB64" t="s">
        <v>7</v>
      </c>
      <c r="AC64">
        <v>4</v>
      </c>
      <c r="AD64">
        <v>0.2</v>
      </c>
      <c r="AE64">
        <v>2.2699999999999999E-3</v>
      </c>
      <c r="AF64">
        <v>2.2799999999999999E-3</v>
      </c>
      <c r="AG64" s="1">
        <v>2E-3</v>
      </c>
      <c r="AH64" s="1">
        <v>-5.3E-3</v>
      </c>
      <c r="AI64" s="1">
        <f t="shared" ref="AI64:AI80" si="25">ABS(AH64/AG64)</f>
        <v>2.65</v>
      </c>
      <c r="AK64" t="s">
        <v>7</v>
      </c>
      <c r="AL64">
        <v>4</v>
      </c>
      <c r="AM64">
        <v>0.2</v>
      </c>
      <c r="AN64">
        <v>2.2699999999999999E-3</v>
      </c>
      <c r="AO64">
        <v>2.2799999999999999E-3</v>
      </c>
      <c r="AP64" s="1">
        <v>2E-3</v>
      </c>
      <c r="AQ64" s="1">
        <v>-5.1000000000000004E-3</v>
      </c>
      <c r="AR64" s="1">
        <f t="shared" si="20"/>
        <v>2.5500000000000003</v>
      </c>
      <c r="AT64" s="12">
        <f t="shared" si="21"/>
        <v>1.963185230465141E-3</v>
      </c>
      <c r="AU64" s="7">
        <f t="shared" ref="AU64:AU80" si="26">( D64 - AVERAGE(AO64,AF64,W64,N64,E64))/ D64</f>
        <v>-3.5242290748899539E-3</v>
      </c>
    </row>
    <row r="65" spans="1:47" x14ac:dyDescent="0.35">
      <c r="A65" s="17" t="s">
        <v>7</v>
      </c>
      <c r="B65">
        <v>8</v>
      </c>
      <c r="C65">
        <v>0.2</v>
      </c>
      <c r="D65">
        <v>1.2999999999999999E-5</v>
      </c>
      <c r="E65">
        <v>1.3699999999999999E-5</v>
      </c>
      <c r="F65" s="1">
        <v>4.7E-2</v>
      </c>
      <c r="G65" s="1">
        <v>-5.2299999999999999E-2</v>
      </c>
      <c r="H65" s="1">
        <f t="shared" si="22"/>
        <v>1.1127659574468085</v>
      </c>
      <c r="J65" t="s">
        <v>7</v>
      </c>
      <c r="K65">
        <v>8</v>
      </c>
      <c r="L65">
        <v>0.2</v>
      </c>
      <c r="M65">
        <v>1.2999999999999999E-5</v>
      </c>
      <c r="N65">
        <v>1.34E-5</v>
      </c>
      <c r="O65" s="1">
        <v>4.7E-2</v>
      </c>
      <c r="P65" s="1">
        <v>-0.03</v>
      </c>
      <c r="Q65" s="1">
        <f t="shared" si="23"/>
        <v>0.63829787234042545</v>
      </c>
      <c r="S65" t="s">
        <v>7</v>
      </c>
      <c r="T65">
        <v>8</v>
      </c>
      <c r="U65">
        <v>0.2</v>
      </c>
      <c r="V65">
        <v>1.2999999999999999E-5</v>
      </c>
      <c r="W65">
        <v>1.31E-5</v>
      </c>
      <c r="X65" s="1">
        <v>4.7E-2</v>
      </c>
      <c r="Y65" s="1">
        <v>-6.8999999999999999E-3</v>
      </c>
      <c r="Z65" s="1">
        <f t="shared" si="24"/>
        <v>0.14680851063829786</v>
      </c>
      <c r="AB65" t="s">
        <v>7</v>
      </c>
      <c r="AC65">
        <v>8</v>
      </c>
      <c r="AD65">
        <v>0.2</v>
      </c>
      <c r="AE65">
        <v>1.2999999999999999E-5</v>
      </c>
      <c r="AF65">
        <v>1.31E-5</v>
      </c>
      <c r="AG65" s="1">
        <v>4.7E-2</v>
      </c>
      <c r="AH65" s="1">
        <v>-0.01</v>
      </c>
      <c r="AI65" s="1">
        <f t="shared" si="25"/>
        <v>0.21276595744680851</v>
      </c>
      <c r="AK65" t="s">
        <v>7</v>
      </c>
      <c r="AL65">
        <v>8</v>
      </c>
      <c r="AM65">
        <v>0.2</v>
      </c>
      <c r="AN65">
        <v>1.2999999999999999E-5</v>
      </c>
      <c r="AO65">
        <v>1.3499999999999999E-5</v>
      </c>
      <c r="AP65" s="1">
        <v>4.7E-2</v>
      </c>
      <c r="AQ65" s="1">
        <v>-3.6200000000000003E-2</v>
      </c>
      <c r="AR65" s="1">
        <f t="shared" si="20"/>
        <v>0.77021276595744692</v>
      </c>
      <c r="AT65" s="12">
        <f t="shared" si="21"/>
        <v>1.9518570075457011E-2</v>
      </c>
      <c r="AU65" s="7">
        <f t="shared" si="26"/>
        <v>-2.769230769230769E-2</v>
      </c>
    </row>
    <row r="66" spans="1:47" x14ac:dyDescent="0.35">
      <c r="A66" s="17" t="s">
        <v>8</v>
      </c>
      <c r="B66">
        <v>0.8</v>
      </c>
      <c r="C66">
        <v>0.2</v>
      </c>
      <c r="D66">
        <v>9.6599999999999995E-4</v>
      </c>
      <c r="E66">
        <v>9.77E-4</v>
      </c>
      <c r="F66" s="1">
        <v>2.3E-2</v>
      </c>
      <c r="G66" s="1">
        <v>-1.0999999999999999E-2</v>
      </c>
      <c r="H66" s="1">
        <f t="shared" si="22"/>
        <v>0.47826086956521735</v>
      </c>
      <c r="J66" t="s">
        <v>8</v>
      </c>
      <c r="K66">
        <v>0.8</v>
      </c>
      <c r="L66">
        <v>0.2</v>
      </c>
      <c r="M66">
        <v>9.6599999999999995E-4</v>
      </c>
      <c r="N66">
        <v>9.7000000000000005E-4</v>
      </c>
      <c r="O66" s="1">
        <v>2.3E-2</v>
      </c>
      <c r="P66" s="1">
        <v>-4.3E-3</v>
      </c>
      <c r="Q66" s="1">
        <f t="shared" si="23"/>
        <v>0.18695652173913044</v>
      </c>
      <c r="S66" t="s">
        <v>8</v>
      </c>
      <c r="T66">
        <v>0.8</v>
      </c>
      <c r="U66">
        <v>0.2</v>
      </c>
      <c r="V66">
        <v>9.6599999999999995E-4</v>
      </c>
      <c r="W66">
        <v>9.59E-4</v>
      </c>
      <c r="X66" s="1">
        <v>2.3E-2</v>
      </c>
      <c r="Y66" s="1">
        <v>7.4999999999999997E-3</v>
      </c>
      <c r="Z66" s="1">
        <f t="shared" si="24"/>
        <v>0.32608695652173914</v>
      </c>
      <c r="AB66" t="s">
        <v>8</v>
      </c>
      <c r="AC66">
        <v>0.8</v>
      </c>
      <c r="AD66">
        <v>0.2</v>
      </c>
      <c r="AE66">
        <v>9.6599999999999995E-4</v>
      </c>
      <c r="AF66">
        <v>9.8200000000000002E-4</v>
      </c>
      <c r="AG66" s="1">
        <v>2.3E-2</v>
      </c>
      <c r="AH66" s="1">
        <v>-1.6500000000000001E-2</v>
      </c>
      <c r="AI66" s="1">
        <f t="shared" si="25"/>
        <v>0.71739130434782616</v>
      </c>
      <c r="AK66" t="s">
        <v>8</v>
      </c>
      <c r="AL66">
        <v>0.8</v>
      </c>
      <c r="AM66">
        <v>0.2</v>
      </c>
      <c r="AN66">
        <v>9.6599999999999995E-4</v>
      </c>
      <c r="AO66">
        <v>9.5399999999999999E-4</v>
      </c>
      <c r="AP66" s="1">
        <v>2.3E-2</v>
      </c>
      <c r="AQ66" s="1">
        <v>1.26E-2</v>
      </c>
      <c r="AR66" s="1">
        <f t="shared" si="20"/>
        <v>0.5478260869565218</v>
      </c>
      <c r="AT66" s="12">
        <f t="shared" si="21"/>
        <v>1.2187672551689869E-2</v>
      </c>
      <c r="AU66" s="7">
        <f t="shared" si="26"/>
        <v>-2.4844720496895014E-3</v>
      </c>
    </row>
    <row r="67" spans="1:47" x14ac:dyDescent="0.35">
      <c r="A67" s="17" t="s">
        <v>8</v>
      </c>
      <c r="B67">
        <v>4</v>
      </c>
      <c r="C67">
        <v>0.2</v>
      </c>
      <c r="D67">
        <v>1.3699999999999999E-5</v>
      </c>
      <c r="E67">
        <v>1.36E-5</v>
      </c>
      <c r="F67" s="1">
        <v>6.3E-2</v>
      </c>
      <c r="G67" s="1">
        <v>9.4999999999999998E-3</v>
      </c>
      <c r="H67" s="1">
        <f t="shared" si="22"/>
        <v>0.15079365079365079</v>
      </c>
      <c r="J67" t="s">
        <v>8</v>
      </c>
      <c r="K67">
        <v>4</v>
      </c>
      <c r="L67">
        <v>0.2</v>
      </c>
      <c r="M67">
        <v>1.3699999999999999E-5</v>
      </c>
      <c r="N67">
        <v>1.27E-5</v>
      </c>
      <c r="O67" s="1">
        <v>6.3E-2</v>
      </c>
      <c r="P67" s="1">
        <v>7.2999999999999995E-2</v>
      </c>
      <c r="Q67" s="1">
        <f t="shared" si="23"/>
        <v>1.1587301587301586</v>
      </c>
      <c r="S67" t="s">
        <v>8</v>
      </c>
      <c r="T67">
        <v>4</v>
      </c>
      <c r="U67">
        <v>0.2</v>
      </c>
      <c r="V67">
        <v>1.3699999999999999E-5</v>
      </c>
      <c r="W67">
        <v>1.3900000000000001E-5</v>
      </c>
      <c r="X67" s="1">
        <v>6.3E-2</v>
      </c>
      <c r="Y67" s="1">
        <v>-1.5299999999999999E-2</v>
      </c>
      <c r="Z67" s="1">
        <f t="shared" si="24"/>
        <v>0.24285714285714285</v>
      </c>
      <c r="AB67" t="s">
        <v>8</v>
      </c>
      <c r="AC67">
        <v>4</v>
      </c>
      <c r="AD67">
        <v>0.2</v>
      </c>
      <c r="AE67">
        <v>1.3699999999999999E-5</v>
      </c>
      <c r="AF67">
        <v>1.29E-5</v>
      </c>
      <c r="AG67" s="1">
        <v>6.3E-2</v>
      </c>
      <c r="AH67" s="1">
        <v>5.6899999999999999E-2</v>
      </c>
      <c r="AI67" s="1">
        <f t="shared" si="25"/>
        <v>0.90317460317460319</v>
      </c>
      <c r="AK67" t="s">
        <v>8</v>
      </c>
      <c r="AL67">
        <v>4</v>
      </c>
      <c r="AM67">
        <v>0.2</v>
      </c>
      <c r="AN67">
        <v>1.3699999999999999E-5</v>
      </c>
      <c r="AO67">
        <v>1.31E-5</v>
      </c>
      <c r="AP67" s="1">
        <v>6.3E-2</v>
      </c>
      <c r="AQ67" s="1">
        <v>4.4499999999999998E-2</v>
      </c>
      <c r="AR67" s="1">
        <f t="shared" si="20"/>
        <v>0.70634920634920628</v>
      </c>
      <c r="AT67" s="12">
        <f t="shared" si="21"/>
        <v>3.7612989722020346E-2</v>
      </c>
      <c r="AU67" s="7">
        <f t="shared" si="26"/>
        <v>3.3576642335766224E-2</v>
      </c>
    </row>
    <row r="68" spans="1:47" x14ac:dyDescent="0.35">
      <c r="A68" s="17" t="s">
        <v>8</v>
      </c>
      <c r="B68">
        <v>8</v>
      </c>
      <c r="C68">
        <v>0.2</v>
      </c>
      <c r="D68">
        <v>7.2800000000000003E-8</v>
      </c>
      <c r="E68">
        <v>4.0000000000000001E-8</v>
      </c>
      <c r="F68" s="1">
        <v>0.187</v>
      </c>
      <c r="G68" s="1">
        <v>0.45050000000000001</v>
      </c>
      <c r="H68" s="1">
        <f t="shared" si="22"/>
        <v>2.4090909090909092</v>
      </c>
      <c r="J68" t="s">
        <v>8</v>
      </c>
      <c r="K68">
        <v>8</v>
      </c>
      <c r="L68">
        <v>0.2</v>
      </c>
      <c r="M68">
        <v>7.2800000000000003E-8</v>
      </c>
      <c r="N68">
        <v>2.4999999999999999E-7</v>
      </c>
      <c r="O68" s="1">
        <v>0.187</v>
      </c>
      <c r="P68" s="1">
        <v>-2.4340999999999999</v>
      </c>
      <c r="Q68" s="1">
        <f t="shared" si="23"/>
        <v>13.016577540106951</v>
      </c>
      <c r="S68" t="s">
        <v>8</v>
      </c>
      <c r="T68">
        <v>8</v>
      </c>
      <c r="U68">
        <v>0.2</v>
      </c>
      <c r="V68">
        <v>7.2800000000000003E-8</v>
      </c>
      <c r="W68">
        <v>4.0000000000000001E-8</v>
      </c>
      <c r="X68" s="1">
        <v>0.187</v>
      </c>
      <c r="Y68" s="1">
        <v>0.45050000000000001</v>
      </c>
      <c r="Z68" s="1">
        <f t="shared" si="24"/>
        <v>2.4090909090909092</v>
      </c>
      <c r="AB68" t="s">
        <v>8</v>
      </c>
      <c r="AC68">
        <v>8</v>
      </c>
      <c r="AD68">
        <v>0.2</v>
      </c>
      <c r="AE68">
        <v>7.2800000000000003E-8</v>
      </c>
      <c r="AF68">
        <v>2.6E-7</v>
      </c>
      <c r="AG68" s="1">
        <v>0.187</v>
      </c>
      <c r="AH68" s="1">
        <v>-2.5714000000000001</v>
      </c>
      <c r="AI68" s="1">
        <f t="shared" si="25"/>
        <v>13.750802139037434</v>
      </c>
      <c r="AK68" t="s">
        <v>8</v>
      </c>
      <c r="AL68">
        <v>8</v>
      </c>
      <c r="AM68">
        <v>0.2</v>
      </c>
      <c r="AN68">
        <v>7.2800000000000003E-8</v>
      </c>
      <c r="AO68">
        <v>9.9999999999999995E-8</v>
      </c>
      <c r="AP68" s="1">
        <v>0.187</v>
      </c>
      <c r="AQ68" s="1">
        <v>-0.37359999999999999</v>
      </c>
      <c r="AR68" s="1">
        <f t="shared" si="20"/>
        <v>1.9978609625668449</v>
      </c>
      <c r="AT68" s="12">
        <f t="shared" si="21"/>
        <v>0.7944620332559853</v>
      </c>
      <c r="AU68" s="7">
        <f t="shared" si="26"/>
        <v>-0.89560439560439542</v>
      </c>
    </row>
    <row r="69" spans="1:47" x14ac:dyDescent="0.35">
      <c r="A69" s="17" t="s">
        <v>9</v>
      </c>
      <c r="B69">
        <v>0.8</v>
      </c>
      <c r="C69">
        <v>0.2</v>
      </c>
      <c r="D69">
        <v>5.4700000000000001E-5</v>
      </c>
      <c r="E69">
        <v>6.86E-5</v>
      </c>
      <c r="F69" s="1">
        <v>0.06</v>
      </c>
      <c r="G69" s="1">
        <v>-0.25390000000000001</v>
      </c>
      <c r="H69" s="1">
        <f t="shared" si="22"/>
        <v>4.2316666666666674</v>
      </c>
      <c r="J69" t="s">
        <v>9</v>
      </c>
      <c r="K69">
        <v>0.8</v>
      </c>
      <c r="L69">
        <v>0.2</v>
      </c>
      <c r="M69">
        <v>5.4700000000000001E-5</v>
      </c>
      <c r="N69">
        <v>6.5699999999999998E-5</v>
      </c>
      <c r="O69" s="1">
        <v>0.06</v>
      </c>
      <c r="P69" s="1">
        <v>-0.20039999999999999</v>
      </c>
      <c r="Q69" s="1">
        <f t="shared" si="23"/>
        <v>3.34</v>
      </c>
      <c r="S69" t="s">
        <v>9</v>
      </c>
      <c r="T69">
        <v>0.8</v>
      </c>
      <c r="U69">
        <v>0.2</v>
      </c>
      <c r="V69">
        <v>5.4700000000000001E-5</v>
      </c>
      <c r="W69">
        <v>5.8100000000000003E-5</v>
      </c>
      <c r="X69" s="1">
        <v>0.06</v>
      </c>
      <c r="Y69" s="1">
        <v>-6.2899999999999998E-2</v>
      </c>
      <c r="Z69" s="1">
        <f t="shared" si="24"/>
        <v>1.0483333333333333</v>
      </c>
      <c r="AB69" t="s">
        <v>9</v>
      </c>
      <c r="AC69">
        <v>0.8</v>
      </c>
      <c r="AD69">
        <v>0.2</v>
      </c>
      <c r="AE69">
        <v>5.4700000000000001E-5</v>
      </c>
      <c r="AF69">
        <v>6.7799999999999995E-5</v>
      </c>
      <c r="AG69" s="1">
        <v>0.06</v>
      </c>
      <c r="AH69" s="1">
        <v>-0.23880000000000001</v>
      </c>
      <c r="AI69" s="1">
        <f t="shared" si="25"/>
        <v>3.9800000000000004</v>
      </c>
      <c r="AK69" t="s">
        <v>9</v>
      </c>
      <c r="AL69">
        <v>0.8</v>
      </c>
      <c r="AM69">
        <v>0.2</v>
      </c>
      <c r="AN69">
        <v>5.4700000000000001E-5</v>
      </c>
      <c r="AO69">
        <v>5.9799999999999997E-5</v>
      </c>
      <c r="AP69" s="1">
        <v>0.06</v>
      </c>
      <c r="AQ69" s="1">
        <v>-9.3399999999999997E-2</v>
      </c>
      <c r="AR69" s="1">
        <f t="shared" si="20"/>
        <v>1.5566666666666666</v>
      </c>
      <c r="AT69" s="12">
        <f t="shared" si="21"/>
        <v>7.4501926883638367E-2</v>
      </c>
      <c r="AU69" s="7">
        <f t="shared" si="26"/>
        <v>-0.17001828153564891</v>
      </c>
    </row>
    <row r="70" spans="1:47" x14ac:dyDescent="0.35">
      <c r="A70" s="17" t="s">
        <v>9</v>
      </c>
      <c r="B70">
        <v>4</v>
      </c>
      <c r="C70">
        <v>0.2</v>
      </c>
      <c r="D70">
        <v>6.2399999999999998E-7</v>
      </c>
      <c r="E70">
        <v>8.4E-7</v>
      </c>
      <c r="F70" s="1">
        <v>0.35499999999999998</v>
      </c>
      <c r="G70" s="1">
        <v>-0.34620000000000001</v>
      </c>
      <c r="H70" s="1">
        <f t="shared" si="22"/>
        <v>0.97521126760563392</v>
      </c>
      <c r="J70" t="s">
        <v>9</v>
      </c>
      <c r="K70">
        <v>4</v>
      </c>
      <c r="L70">
        <v>0.2</v>
      </c>
      <c r="M70">
        <v>6.2399999999999998E-7</v>
      </c>
      <c r="N70">
        <v>1.2500000000000001E-6</v>
      </c>
      <c r="O70" s="1">
        <v>0.35499999999999998</v>
      </c>
      <c r="P70" s="1">
        <v>-1.0032000000000001</v>
      </c>
      <c r="Q70" s="1">
        <f t="shared" si="23"/>
        <v>2.8259154929577468</v>
      </c>
      <c r="S70" t="s">
        <v>9</v>
      </c>
      <c r="T70">
        <v>4</v>
      </c>
      <c r="U70">
        <v>0.2</v>
      </c>
      <c r="V70">
        <v>6.2399999999999998E-7</v>
      </c>
      <c r="W70">
        <v>4.2E-7</v>
      </c>
      <c r="X70" s="1">
        <v>0.35499999999999998</v>
      </c>
      <c r="Y70" s="1">
        <v>0.32690000000000002</v>
      </c>
      <c r="Z70" s="1">
        <f t="shared" si="24"/>
        <v>0.92084507042253527</v>
      </c>
      <c r="AB70" t="s">
        <v>9</v>
      </c>
      <c r="AC70">
        <v>4</v>
      </c>
      <c r="AD70">
        <v>0.2</v>
      </c>
      <c r="AE70">
        <v>6.2399999999999998E-7</v>
      </c>
      <c r="AF70">
        <v>4.2E-7</v>
      </c>
      <c r="AG70" s="1">
        <v>0.35499999999999998</v>
      </c>
      <c r="AH70" s="1">
        <v>0.32690000000000002</v>
      </c>
      <c r="AI70" s="1">
        <f t="shared" si="25"/>
        <v>0.92084507042253527</v>
      </c>
      <c r="AK70" t="s">
        <v>9</v>
      </c>
      <c r="AL70">
        <v>4</v>
      </c>
      <c r="AM70">
        <v>0.2</v>
      </c>
      <c r="AN70">
        <v>6.2399999999999998E-7</v>
      </c>
      <c r="AO70">
        <v>4.2E-7</v>
      </c>
      <c r="AP70" s="1">
        <v>0.35499999999999998</v>
      </c>
      <c r="AQ70" s="1">
        <v>0.32690000000000002</v>
      </c>
      <c r="AR70" s="1">
        <f t="shared" si="20"/>
        <v>0.92084507042253527</v>
      </c>
      <c r="AT70" s="12">
        <f t="shared" si="21"/>
        <v>0.55485463568480919</v>
      </c>
      <c r="AU70" s="7">
        <f t="shared" si="26"/>
        <v>-7.3717948717948831E-2</v>
      </c>
    </row>
    <row r="71" spans="1:47" x14ac:dyDescent="0.35">
      <c r="A71" s="17" t="s">
        <v>9</v>
      </c>
      <c r="B71">
        <v>8</v>
      </c>
      <c r="C71">
        <v>0.2</v>
      </c>
      <c r="D71">
        <v>4.0199999999999998E-9</v>
      </c>
      <c r="E71">
        <v>0</v>
      </c>
      <c r="F71" s="1">
        <v>0.248</v>
      </c>
      <c r="G71" s="1">
        <v>1</v>
      </c>
      <c r="H71" s="1">
        <f t="shared" si="22"/>
        <v>4.032258064516129</v>
      </c>
      <c r="J71" t="s">
        <v>9</v>
      </c>
      <c r="K71">
        <v>8</v>
      </c>
      <c r="L71">
        <v>0.2</v>
      </c>
      <c r="M71">
        <v>4.0199999999999998E-9</v>
      </c>
      <c r="N71">
        <v>0</v>
      </c>
      <c r="O71" s="1">
        <v>0.248</v>
      </c>
      <c r="P71" s="1">
        <v>1</v>
      </c>
      <c r="Q71" s="1">
        <f t="shared" si="23"/>
        <v>4.032258064516129</v>
      </c>
      <c r="S71" t="s">
        <v>9</v>
      </c>
      <c r="T71">
        <v>8</v>
      </c>
      <c r="U71">
        <v>0.2</v>
      </c>
      <c r="V71">
        <v>4.0199999999999998E-9</v>
      </c>
      <c r="W71">
        <v>0</v>
      </c>
      <c r="X71" s="1">
        <v>0.248</v>
      </c>
      <c r="Y71" s="1">
        <v>1</v>
      </c>
      <c r="Z71" s="1">
        <f t="shared" si="24"/>
        <v>4.032258064516129</v>
      </c>
      <c r="AB71" t="s">
        <v>9</v>
      </c>
      <c r="AC71">
        <v>8</v>
      </c>
      <c r="AD71">
        <v>0.2</v>
      </c>
      <c r="AE71">
        <v>4.0199999999999998E-9</v>
      </c>
      <c r="AF71">
        <v>0</v>
      </c>
      <c r="AG71" s="1">
        <v>0.248</v>
      </c>
      <c r="AH71" s="1">
        <v>1</v>
      </c>
      <c r="AI71" s="1">
        <f t="shared" si="25"/>
        <v>4.032258064516129</v>
      </c>
      <c r="AK71" t="s">
        <v>9</v>
      </c>
      <c r="AL71">
        <v>8</v>
      </c>
      <c r="AM71">
        <v>0.2</v>
      </c>
      <c r="AN71">
        <v>4.0199999999999998E-9</v>
      </c>
      <c r="AO71">
        <v>0</v>
      </c>
      <c r="AP71" s="1">
        <v>0.248</v>
      </c>
      <c r="AQ71" s="1">
        <v>1</v>
      </c>
      <c r="AR71" s="1">
        <f t="shared" si="20"/>
        <v>4.032258064516129</v>
      </c>
      <c r="AT71" s="12" t="e">
        <f t="shared" si="21"/>
        <v>#DIV/0!</v>
      </c>
      <c r="AU71" s="7">
        <f t="shared" si="26"/>
        <v>1</v>
      </c>
    </row>
    <row r="72" spans="1:47" x14ac:dyDescent="0.35">
      <c r="A72" s="17" t="s">
        <v>7</v>
      </c>
      <c r="B72">
        <v>0.1</v>
      </c>
      <c r="C72">
        <v>0.9</v>
      </c>
      <c r="D72">
        <v>0.41299999999999998</v>
      </c>
      <c r="E72">
        <v>0.41299999999999998</v>
      </c>
      <c r="F72" s="1">
        <v>1E-3</v>
      </c>
      <c r="G72" s="1">
        <v>-1.1000000000000001E-3</v>
      </c>
      <c r="H72" s="1">
        <f t="shared" si="22"/>
        <v>1.1000000000000001</v>
      </c>
      <c r="J72" t="s">
        <v>7</v>
      </c>
      <c r="K72">
        <v>0.1</v>
      </c>
      <c r="L72">
        <v>0.9</v>
      </c>
      <c r="M72">
        <v>0.41299999999999998</v>
      </c>
      <c r="N72">
        <v>0.41299999999999998</v>
      </c>
      <c r="O72" s="1">
        <v>1E-3</v>
      </c>
      <c r="P72" s="1">
        <v>-1.1999999999999999E-3</v>
      </c>
      <c r="Q72" s="1">
        <f t="shared" si="23"/>
        <v>1.2</v>
      </c>
      <c r="S72" t="s">
        <v>7</v>
      </c>
      <c r="T72">
        <v>0.1</v>
      </c>
      <c r="U72">
        <v>0.9</v>
      </c>
      <c r="V72">
        <v>0.41299999999999998</v>
      </c>
      <c r="W72">
        <v>0.41299999999999998</v>
      </c>
      <c r="X72" s="1">
        <v>1E-3</v>
      </c>
      <c r="Y72" s="1">
        <v>-1.1000000000000001E-3</v>
      </c>
      <c r="Z72" s="1">
        <f t="shared" si="24"/>
        <v>1.1000000000000001</v>
      </c>
      <c r="AB72" t="s">
        <v>7</v>
      </c>
      <c r="AC72">
        <v>0.1</v>
      </c>
      <c r="AD72">
        <v>0.9</v>
      </c>
      <c r="AE72">
        <v>0.41299999999999998</v>
      </c>
      <c r="AF72">
        <v>0.41399999999999998</v>
      </c>
      <c r="AG72" s="1">
        <v>1E-3</v>
      </c>
      <c r="AH72" s="1">
        <v>-1.2999999999999999E-3</v>
      </c>
      <c r="AI72" s="1">
        <f t="shared" si="25"/>
        <v>1.2999999999999998</v>
      </c>
      <c r="AK72" t="s">
        <v>7</v>
      </c>
      <c r="AL72">
        <v>0.1</v>
      </c>
      <c r="AM72">
        <v>0.9</v>
      </c>
      <c r="AN72">
        <v>0.41299999999999998</v>
      </c>
      <c r="AO72">
        <v>0.41299999999999998</v>
      </c>
      <c r="AP72" s="1">
        <v>1E-3</v>
      </c>
      <c r="AQ72" s="1">
        <v>-1.1999999999999999E-3</v>
      </c>
      <c r="AR72" s="1">
        <f t="shared" si="20"/>
        <v>1.2</v>
      </c>
      <c r="AT72" s="12">
        <f t="shared" si="21"/>
        <v>1.0823175108905091E-3</v>
      </c>
      <c r="AU72" s="7">
        <f t="shared" si="26"/>
        <v>-4.8426150121060047E-4</v>
      </c>
    </row>
    <row r="73" spans="1:47" x14ac:dyDescent="0.35">
      <c r="A73" s="17" t="s">
        <v>7</v>
      </c>
      <c r="B73">
        <v>0.5</v>
      </c>
      <c r="C73">
        <v>0.9</v>
      </c>
      <c r="D73">
        <v>0.187</v>
      </c>
      <c r="E73">
        <v>0.187</v>
      </c>
      <c r="F73" s="1">
        <v>5.0000000000000001E-3</v>
      </c>
      <c r="G73" s="1">
        <v>-1.4E-3</v>
      </c>
      <c r="H73" s="1">
        <f t="shared" si="22"/>
        <v>0.27999999999999997</v>
      </c>
      <c r="J73" t="s">
        <v>7</v>
      </c>
      <c r="K73">
        <v>0.5</v>
      </c>
      <c r="L73">
        <v>0.9</v>
      </c>
      <c r="M73">
        <v>0.187</v>
      </c>
      <c r="N73">
        <v>0.187</v>
      </c>
      <c r="O73" s="1">
        <v>5.0000000000000001E-3</v>
      </c>
      <c r="P73" s="1">
        <v>-1.8E-3</v>
      </c>
      <c r="Q73" s="1">
        <f t="shared" si="23"/>
        <v>0.36</v>
      </c>
      <c r="S73" t="s">
        <v>7</v>
      </c>
      <c r="T73">
        <v>0.5</v>
      </c>
      <c r="U73">
        <v>0.9</v>
      </c>
      <c r="V73">
        <v>0.187</v>
      </c>
      <c r="W73">
        <v>0.187</v>
      </c>
      <c r="X73" s="1">
        <v>5.0000000000000001E-3</v>
      </c>
      <c r="Y73" s="1">
        <v>-1.6999999999999999E-3</v>
      </c>
      <c r="Z73" s="1">
        <f t="shared" si="24"/>
        <v>0.33999999999999997</v>
      </c>
      <c r="AB73" t="s">
        <v>7</v>
      </c>
      <c r="AC73">
        <v>0.5</v>
      </c>
      <c r="AD73">
        <v>0.9</v>
      </c>
      <c r="AE73">
        <v>0.187</v>
      </c>
      <c r="AF73">
        <v>0.187</v>
      </c>
      <c r="AG73" s="1">
        <v>5.0000000000000001E-3</v>
      </c>
      <c r="AH73" s="1">
        <v>-1.8E-3</v>
      </c>
      <c r="AI73" s="1">
        <f t="shared" si="25"/>
        <v>0.36</v>
      </c>
      <c r="AK73" t="s">
        <v>7</v>
      </c>
      <c r="AL73">
        <v>0.5</v>
      </c>
      <c r="AM73">
        <v>0.9</v>
      </c>
      <c r="AN73">
        <v>0.187</v>
      </c>
      <c r="AO73">
        <v>0.187</v>
      </c>
      <c r="AP73" s="1">
        <v>5.0000000000000001E-3</v>
      </c>
      <c r="AQ73" s="1">
        <v>-1.6000000000000001E-3</v>
      </c>
      <c r="AR73" s="1">
        <f t="shared" si="20"/>
        <v>0.32</v>
      </c>
      <c r="AT73" s="12">
        <f t="shared" si="21"/>
        <v>0</v>
      </c>
      <c r="AU73" s="7">
        <f t="shared" si="26"/>
        <v>0</v>
      </c>
    </row>
    <row r="74" spans="1:47" x14ac:dyDescent="0.35">
      <c r="A74" s="17" t="s">
        <v>7</v>
      </c>
      <c r="B74">
        <v>1</v>
      </c>
      <c r="C74">
        <v>0.9</v>
      </c>
      <c r="D74">
        <v>6.8500000000000005E-2</v>
      </c>
      <c r="E74">
        <v>6.8699999999999997E-2</v>
      </c>
      <c r="F74" s="1">
        <v>0.01</v>
      </c>
      <c r="G74" s="1">
        <v>-3.2000000000000002E-3</v>
      </c>
      <c r="H74" s="1">
        <f t="shared" si="22"/>
        <v>0.32</v>
      </c>
      <c r="J74" t="s">
        <v>7</v>
      </c>
      <c r="K74">
        <v>1</v>
      </c>
      <c r="L74">
        <v>0.9</v>
      </c>
      <c r="M74">
        <v>6.8500000000000005E-2</v>
      </c>
      <c r="N74">
        <v>6.8699999999999997E-2</v>
      </c>
      <c r="O74" s="1">
        <v>0.01</v>
      </c>
      <c r="P74" s="1">
        <v>-2.2000000000000001E-3</v>
      </c>
      <c r="Q74" s="1">
        <f t="shared" si="23"/>
        <v>0.22</v>
      </c>
      <c r="S74" t="s">
        <v>7</v>
      </c>
      <c r="T74">
        <v>1</v>
      </c>
      <c r="U74">
        <v>0.9</v>
      </c>
      <c r="V74">
        <v>6.8500000000000005E-2</v>
      </c>
      <c r="W74">
        <v>6.8699999999999997E-2</v>
      </c>
      <c r="X74" s="1">
        <v>0.01</v>
      </c>
      <c r="Y74" s="1">
        <v>-2.7000000000000001E-3</v>
      </c>
      <c r="Z74" s="1">
        <f t="shared" si="24"/>
        <v>0.27</v>
      </c>
      <c r="AB74" t="s">
        <v>7</v>
      </c>
      <c r="AC74">
        <v>1</v>
      </c>
      <c r="AD74">
        <v>0.9</v>
      </c>
      <c r="AE74">
        <v>6.8500000000000005E-2</v>
      </c>
      <c r="AF74">
        <v>6.8699999999999997E-2</v>
      </c>
      <c r="AG74" s="1">
        <v>0.01</v>
      </c>
      <c r="AH74" s="1">
        <v>-3.5000000000000001E-3</v>
      </c>
      <c r="AI74" s="1">
        <f t="shared" si="25"/>
        <v>0.35</v>
      </c>
      <c r="AK74" t="s">
        <v>7</v>
      </c>
      <c r="AL74">
        <v>1</v>
      </c>
      <c r="AM74">
        <v>0.9</v>
      </c>
      <c r="AN74">
        <v>6.8500000000000005E-2</v>
      </c>
      <c r="AO74">
        <v>6.8699999999999997E-2</v>
      </c>
      <c r="AP74" s="1">
        <v>0.01</v>
      </c>
      <c r="AQ74" s="1">
        <v>-2.3E-3</v>
      </c>
      <c r="AR74" s="1">
        <f t="shared" si="20"/>
        <v>0.22999999999999998</v>
      </c>
      <c r="AT74" s="12">
        <f t="shared" si="21"/>
        <v>0</v>
      </c>
      <c r="AU74" s="7">
        <f t="shared" si="26"/>
        <v>-2.9197080291969613E-3</v>
      </c>
    </row>
    <row r="75" spans="1:47" x14ac:dyDescent="0.35">
      <c r="A75" s="17" t="s">
        <v>8</v>
      </c>
      <c r="B75">
        <v>0.1</v>
      </c>
      <c r="C75">
        <v>0.9</v>
      </c>
      <c r="D75">
        <v>9.3100000000000002E-2</v>
      </c>
      <c r="E75">
        <v>9.3299999999999994E-2</v>
      </c>
      <c r="F75" s="1">
        <v>2.1000000000000001E-2</v>
      </c>
      <c r="G75" s="1">
        <v>-2.3E-3</v>
      </c>
      <c r="H75" s="1">
        <f t="shared" si="22"/>
        <v>0.10952380952380951</v>
      </c>
      <c r="J75" t="s">
        <v>8</v>
      </c>
      <c r="K75">
        <v>0.1</v>
      </c>
      <c r="L75">
        <v>0.9</v>
      </c>
      <c r="M75">
        <v>9.3100000000000002E-2</v>
      </c>
      <c r="N75">
        <v>9.3399999999999997E-2</v>
      </c>
      <c r="O75" s="1">
        <v>2.1000000000000001E-2</v>
      </c>
      <c r="P75" s="1">
        <v>-3.0000000000000001E-3</v>
      </c>
      <c r="Q75" s="1">
        <f t="shared" si="23"/>
        <v>0.14285714285714285</v>
      </c>
      <c r="S75" t="s">
        <v>8</v>
      </c>
      <c r="T75">
        <v>0.1</v>
      </c>
      <c r="U75">
        <v>0.9</v>
      </c>
      <c r="V75">
        <v>9.3100000000000002E-2</v>
      </c>
      <c r="W75">
        <v>9.3200000000000005E-2</v>
      </c>
      <c r="X75" s="1">
        <v>2.1000000000000001E-2</v>
      </c>
      <c r="Y75" s="1">
        <v>-1.2999999999999999E-3</v>
      </c>
      <c r="Z75" s="1">
        <f t="shared" si="24"/>
        <v>6.19047619047619E-2</v>
      </c>
      <c r="AB75" t="s">
        <v>8</v>
      </c>
      <c r="AC75">
        <v>0.1</v>
      </c>
      <c r="AD75">
        <v>0.9</v>
      </c>
      <c r="AE75">
        <v>9.3100000000000002E-2</v>
      </c>
      <c r="AF75">
        <v>9.3399999999999997E-2</v>
      </c>
      <c r="AG75" s="1">
        <v>2.1000000000000001E-2</v>
      </c>
      <c r="AH75" s="1">
        <v>-3.2000000000000002E-3</v>
      </c>
      <c r="AI75" s="1">
        <f t="shared" si="25"/>
        <v>0.15238095238095237</v>
      </c>
      <c r="AK75" t="s">
        <v>8</v>
      </c>
      <c r="AL75">
        <v>0.1</v>
      </c>
      <c r="AM75">
        <v>0.9</v>
      </c>
      <c r="AN75">
        <v>9.3100000000000002E-2</v>
      </c>
      <c r="AO75">
        <v>9.3299999999999994E-2</v>
      </c>
      <c r="AP75" s="1">
        <v>2.1000000000000001E-2</v>
      </c>
      <c r="AQ75" s="1">
        <v>-1.6999999999999999E-3</v>
      </c>
      <c r="AR75" s="1">
        <f t="shared" si="20"/>
        <v>8.0952380952380942E-2</v>
      </c>
      <c r="AT75" s="12">
        <f t="shared" si="21"/>
        <v>8.9654953550583993E-4</v>
      </c>
      <c r="AU75" s="7">
        <f t="shared" si="26"/>
        <v>-2.3630504833510643E-3</v>
      </c>
    </row>
    <row r="76" spans="1:47" x14ac:dyDescent="0.35">
      <c r="A76" s="17" t="s">
        <v>8</v>
      </c>
      <c r="B76">
        <v>0.5</v>
      </c>
      <c r="C76">
        <v>0.9</v>
      </c>
      <c r="D76">
        <v>4.6300000000000001E-2</v>
      </c>
      <c r="E76">
        <v>4.6100000000000002E-2</v>
      </c>
      <c r="F76" s="1">
        <v>1.7000000000000001E-2</v>
      </c>
      <c r="G76" s="1">
        <v>3.2000000000000002E-3</v>
      </c>
      <c r="H76" s="1">
        <f t="shared" si="22"/>
        <v>0.18823529411764706</v>
      </c>
      <c r="J76" t="s">
        <v>8</v>
      </c>
      <c r="K76">
        <v>0.5</v>
      </c>
      <c r="L76">
        <v>0.9</v>
      </c>
      <c r="M76">
        <v>4.6300000000000001E-2</v>
      </c>
      <c r="N76">
        <v>4.6199999999999998E-2</v>
      </c>
      <c r="O76" s="1">
        <v>1.7000000000000001E-2</v>
      </c>
      <c r="P76" s="1">
        <v>2.2000000000000001E-3</v>
      </c>
      <c r="Q76" s="1">
        <f t="shared" si="23"/>
        <v>0.12941176470588237</v>
      </c>
      <c r="S76" t="s">
        <v>8</v>
      </c>
      <c r="T76">
        <v>0.5</v>
      </c>
      <c r="U76">
        <v>0.9</v>
      </c>
      <c r="V76">
        <v>4.6300000000000001E-2</v>
      </c>
      <c r="W76">
        <v>4.6100000000000002E-2</v>
      </c>
      <c r="X76" s="1">
        <v>1.7000000000000001E-2</v>
      </c>
      <c r="Y76" s="1">
        <v>3.8999999999999998E-3</v>
      </c>
      <c r="Z76" s="1">
        <f t="shared" si="24"/>
        <v>0.22941176470588232</v>
      </c>
      <c r="AB76" t="s">
        <v>8</v>
      </c>
      <c r="AC76">
        <v>0.5</v>
      </c>
      <c r="AD76">
        <v>0.9</v>
      </c>
      <c r="AE76">
        <v>4.6300000000000001E-2</v>
      </c>
      <c r="AF76">
        <v>4.6199999999999998E-2</v>
      </c>
      <c r="AG76" s="1">
        <v>1.7000000000000001E-2</v>
      </c>
      <c r="AH76" s="1">
        <v>2.3999999999999998E-3</v>
      </c>
      <c r="AI76" s="1">
        <f t="shared" si="25"/>
        <v>0.14117647058823526</v>
      </c>
      <c r="AK76" t="s">
        <v>8</v>
      </c>
      <c r="AL76">
        <v>0.5</v>
      </c>
      <c r="AM76">
        <v>0.9</v>
      </c>
      <c r="AN76">
        <v>4.6300000000000001E-2</v>
      </c>
      <c r="AO76">
        <v>4.5999999999999999E-2</v>
      </c>
      <c r="AP76" s="1">
        <v>1.7000000000000001E-2</v>
      </c>
      <c r="AQ76" s="1">
        <v>6.0000000000000001E-3</v>
      </c>
      <c r="AR76" s="1">
        <f t="shared" si="20"/>
        <v>0.3529411764705882</v>
      </c>
      <c r="AT76" s="12">
        <f t="shared" si="21"/>
        <v>1.8140937262230404E-3</v>
      </c>
      <c r="AU76" s="7">
        <f t="shared" si="26"/>
        <v>3.8876889848812007E-3</v>
      </c>
    </row>
    <row r="77" spans="1:47" x14ac:dyDescent="0.35">
      <c r="A77" s="17" t="s">
        <v>8</v>
      </c>
      <c r="B77">
        <v>1</v>
      </c>
      <c r="C77">
        <v>0.9</v>
      </c>
      <c r="D77">
        <v>1.6500000000000001E-2</v>
      </c>
      <c r="E77">
        <v>1.6400000000000001E-2</v>
      </c>
      <c r="F77" s="1">
        <v>1.4E-2</v>
      </c>
      <c r="G77" s="1">
        <v>7.4000000000000003E-3</v>
      </c>
      <c r="H77" s="1">
        <f t="shared" si="22"/>
        <v>0.52857142857142858</v>
      </c>
      <c r="J77" t="s">
        <v>8</v>
      </c>
      <c r="K77">
        <v>1</v>
      </c>
      <c r="L77">
        <v>0.9</v>
      </c>
      <c r="M77">
        <v>1.6500000000000001E-2</v>
      </c>
      <c r="N77">
        <v>1.6400000000000001E-2</v>
      </c>
      <c r="O77" s="1">
        <v>1.4E-2</v>
      </c>
      <c r="P77" s="1">
        <v>8.0000000000000002E-3</v>
      </c>
      <c r="Q77" s="1">
        <f t="shared" si="23"/>
        <v>0.5714285714285714</v>
      </c>
      <c r="S77" t="s">
        <v>8</v>
      </c>
      <c r="T77">
        <v>1</v>
      </c>
      <c r="U77">
        <v>0.9</v>
      </c>
      <c r="V77">
        <v>1.6500000000000001E-2</v>
      </c>
      <c r="W77">
        <v>1.6400000000000001E-2</v>
      </c>
      <c r="X77" s="1">
        <v>1.4E-2</v>
      </c>
      <c r="Y77" s="1">
        <v>4.3E-3</v>
      </c>
      <c r="Z77" s="1">
        <f t="shared" si="24"/>
        <v>0.30714285714285716</v>
      </c>
      <c r="AB77" t="s">
        <v>8</v>
      </c>
      <c r="AC77">
        <v>1</v>
      </c>
      <c r="AD77">
        <v>0.9</v>
      </c>
      <c r="AE77">
        <v>1.6500000000000001E-2</v>
      </c>
      <c r="AF77">
        <v>1.6400000000000001E-2</v>
      </c>
      <c r="AG77" s="1">
        <v>1.4E-2</v>
      </c>
      <c r="AH77" s="1">
        <v>6.7999999999999996E-3</v>
      </c>
      <c r="AI77" s="1">
        <f t="shared" si="25"/>
        <v>0.48571428571428565</v>
      </c>
      <c r="AK77" t="s">
        <v>8</v>
      </c>
      <c r="AL77">
        <v>1</v>
      </c>
      <c r="AM77">
        <v>0.9</v>
      </c>
      <c r="AN77">
        <v>1.6500000000000001E-2</v>
      </c>
      <c r="AO77">
        <v>1.6400000000000001E-2</v>
      </c>
      <c r="AP77" s="1">
        <v>1.4E-2</v>
      </c>
      <c r="AQ77" s="1">
        <v>5.8999999999999999E-3</v>
      </c>
      <c r="AR77" s="1">
        <f t="shared" si="20"/>
        <v>0.42142857142857143</v>
      </c>
      <c r="AT77" s="12">
        <f t="shared" si="21"/>
        <v>0</v>
      </c>
      <c r="AU77" s="7">
        <f t="shared" si="26"/>
        <v>6.0606060606060233E-3</v>
      </c>
    </row>
    <row r="78" spans="1:47" x14ac:dyDescent="0.35">
      <c r="A78" s="17" t="s">
        <v>9</v>
      </c>
      <c r="B78">
        <v>0.1</v>
      </c>
      <c r="C78">
        <v>0.9</v>
      </c>
      <c r="D78">
        <v>6.9899999999999997E-3</v>
      </c>
      <c r="E78">
        <v>7.0800000000000004E-3</v>
      </c>
      <c r="F78" s="1">
        <v>6.3E-2</v>
      </c>
      <c r="G78" s="1">
        <v>-1.24E-2</v>
      </c>
      <c r="H78" s="1">
        <f t="shared" si="22"/>
        <v>0.19682539682539682</v>
      </c>
      <c r="J78" t="s">
        <v>9</v>
      </c>
      <c r="K78">
        <v>0.1</v>
      </c>
      <c r="L78">
        <v>0.9</v>
      </c>
      <c r="M78">
        <v>6.9899999999999997E-3</v>
      </c>
      <c r="N78">
        <v>7.0099999999999997E-3</v>
      </c>
      <c r="O78" s="1">
        <v>6.3E-2</v>
      </c>
      <c r="P78" s="1">
        <v>-2.7000000000000001E-3</v>
      </c>
      <c r="Q78" s="1">
        <f t="shared" si="23"/>
        <v>4.2857142857142858E-2</v>
      </c>
      <c r="S78" t="s">
        <v>9</v>
      </c>
      <c r="T78">
        <v>0.1</v>
      </c>
      <c r="U78">
        <v>0.9</v>
      </c>
      <c r="V78">
        <v>6.9899999999999997E-3</v>
      </c>
      <c r="W78">
        <v>6.96E-3</v>
      </c>
      <c r="X78" s="1">
        <v>6.3E-2</v>
      </c>
      <c r="Y78" s="1">
        <v>4.0000000000000001E-3</v>
      </c>
      <c r="Z78" s="1">
        <f t="shared" si="24"/>
        <v>6.3492063492063489E-2</v>
      </c>
      <c r="AB78" t="s">
        <v>9</v>
      </c>
      <c r="AC78">
        <v>0.1</v>
      </c>
      <c r="AD78">
        <v>0.9</v>
      </c>
      <c r="AE78">
        <v>6.9899999999999997E-3</v>
      </c>
      <c r="AF78">
        <v>7.0000000000000001E-3</v>
      </c>
      <c r="AG78" s="1">
        <v>6.3E-2</v>
      </c>
      <c r="AH78" s="1">
        <v>-1.6999999999999999E-3</v>
      </c>
      <c r="AI78" s="1">
        <f t="shared" si="25"/>
        <v>2.6984126984126982E-2</v>
      </c>
      <c r="AK78" t="s">
        <v>9</v>
      </c>
      <c r="AL78">
        <v>0.1</v>
      </c>
      <c r="AM78">
        <v>0.9</v>
      </c>
      <c r="AN78">
        <v>6.9899999999999997E-3</v>
      </c>
      <c r="AO78">
        <v>7.0200000000000002E-3</v>
      </c>
      <c r="AP78" s="1">
        <v>6.3E-2</v>
      </c>
      <c r="AQ78" s="1">
        <v>-4.5999999999999999E-3</v>
      </c>
      <c r="AR78" s="1">
        <f t="shared" si="20"/>
        <v>7.301587301587302E-2</v>
      </c>
      <c r="AT78" s="12">
        <f t="shared" si="21"/>
        <v>6.1817745619272479E-3</v>
      </c>
      <c r="AU78" s="7">
        <f t="shared" si="26"/>
        <v>-3.433476394849993E-3</v>
      </c>
    </row>
    <row r="79" spans="1:47" x14ac:dyDescent="0.35">
      <c r="A79" s="17" t="s">
        <v>9</v>
      </c>
      <c r="B79">
        <v>0.5</v>
      </c>
      <c r="C79">
        <v>0.9</v>
      </c>
      <c r="D79">
        <v>3.29E-3</v>
      </c>
      <c r="E79">
        <v>3.2699999999999999E-3</v>
      </c>
      <c r="F79" s="1">
        <v>5.5E-2</v>
      </c>
      <c r="G79" s="1">
        <v>6.1000000000000004E-3</v>
      </c>
      <c r="H79" s="1">
        <f t="shared" si="22"/>
        <v>0.11090909090909092</v>
      </c>
      <c r="J79" t="s">
        <v>9</v>
      </c>
      <c r="K79">
        <v>0.5</v>
      </c>
      <c r="L79">
        <v>0.9</v>
      </c>
      <c r="M79">
        <v>3.29E-3</v>
      </c>
      <c r="N79">
        <v>3.1700000000000001E-3</v>
      </c>
      <c r="O79" s="1">
        <v>5.5E-2</v>
      </c>
      <c r="P79" s="1">
        <v>3.6499999999999998E-2</v>
      </c>
      <c r="Q79" s="1">
        <f t="shared" si="23"/>
        <v>0.66363636363636358</v>
      </c>
      <c r="S79" t="s">
        <v>9</v>
      </c>
      <c r="T79">
        <v>0.5</v>
      </c>
      <c r="U79">
        <v>0.9</v>
      </c>
      <c r="V79">
        <v>3.29E-3</v>
      </c>
      <c r="W79">
        <v>3.2100000000000002E-3</v>
      </c>
      <c r="X79" s="1">
        <v>5.5E-2</v>
      </c>
      <c r="Y79" s="1">
        <v>2.4400000000000002E-2</v>
      </c>
      <c r="Z79" s="1">
        <f t="shared" si="24"/>
        <v>0.44363636363636366</v>
      </c>
      <c r="AB79" t="s">
        <v>9</v>
      </c>
      <c r="AC79">
        <v>0.5</v>
      </c>
      <c r="AD79">
        <v>0.9</v>
      </c>
      <c r="AE79">
        <v>3.29E-3</v>
      </c>
      <c r="AF79">
        <v>3.1700000000000001E-3</v>
      </c>
      <c r="AG79" s="1">
        <v>5.5E-2</v>
      </c>
      <c r="AH79" s="1">
        <v>3.5999999999999997E-2</v>
      </c>
      <c r="AI79" s="1">
        <f t="shared" si="25"/>
        <v>0.65454545454545454</v>
      </c>
      <c r="AK79" t="s">
        <v>9</v>
      </c>
      <c r="AL79">
        <v>0.5</v>
      </c>
      <c r="AM79">
        <v>0.9</v>
      </c>
      <c r="AN79">
        <v>3.29E-3</v>
      </c>
      <c r="AO79">
        <v>3.2299999999999998E-3</v>
      </c>
      <c r="AP79" s="1">
        <v>5.5E-2</v>
      </c>
      <c r="AQ79" s="1">
        <v>1.9E-2</v>
      </c>
      <c r="AR79" s="1">
        <f t="shared" si="20"/>
        <v>0.34545454545454546</v>
      </c>
      <c r="AT79" s="12">
        <f t="shared" si="21"/>
        <v>1.3216949181056935E-2</v>
      </c>
      <c r="AU79" s="7">
        <f t="shared" si="26"/>
        <v>2.4316109422492467E-2</v>
      </c>
    </row>
    <row r="80" spans="1:47" x14ac:dyDescent="0.35">
      <c r="A80" s="17" t="s">
        <v>9</v>
      </c>
      <c r="B80">
        <v>1</v>
      </c>
      <c r="C80">
        <v>0.9</v>
      </c>
      <c r="D80">
        <v>1.2099999999999999E-3</v>
      </c>
      <c r="E80">
        <v>1.1800000000000001E-3</v>
      </c>
      <c r="F80" s="1">
        <v>0.109</v>
      </c>
      <c r="G80" s="1">
        <v>2.7E-2</v>
      </c>
      <c r="H80" s="1">
        <f t="shared" si="22"/>
        <v>0.24770642201834861</v>
      </c>
      <c r="J80" t="s">
        <v>9</v>
      </c>
      <c r="K80">
        <v>1</v>
      </c>
      <c r="L80">
        <v>0.9</v>
      </c>
      <c r="M80">
        <v>1.2099999999999999E-3</v>
      </c>
      <c r="N80">
        <v>1.16E-3</v>
      </c>
      <c r="O80" s="1">
        <v>0.109</v>
      </c>
      <c r="P80" s="1">
        <v>4.1099999999999998E-2</v>
      </c>
      <c r="Q80" s="1">
        <f t="shared" si="23"/>
        <v>0.37706422018348623</v>
      </c>
      <c r="S80" t="s">
        <v>9</v>
      </c>
      <c r="T80">
        <v>1</v>
      </c>
      <c r="U80">
        <v>0.9</v>
      </c>
      <c r="V80">
        <v>1.2099999999999999E-3</v>
      </c>
      <c r="W80">
        <v>1.14E-3</v>
      </c>
      <c r="X80" s="1">
        <v>0.109</v>
      </c>
      <c r="Y80" s="1">
        <v>5.74E-2</v>
      </c>
      <c r="Z80" s="1">
        <f t="shared" si="24"/>
        <v>0.52660550458715594</v>
      </c>
      <c r="AB80" t="s">
        <v>9</v>
      </c>
      <c r="AC80">
        <v>1</v>
      </c>
      <c r="AD80">
        <v>0.9</v>
      </c>
      <c r="AE80">
        <v>1.2099999999999999E-3</v>
      </c>
      <c r="AF80">
        <v>1.16E-3</v>
      </c>
      <c r="AG80" s="1">
        <v>0.109</v>
      </c>
      <c r="AH80" s="1">
        <v>4.0800000000000003E-2</v>
      </c>
      <c r="AI80" s="1">
        <f t="shared" si="25"/>
        <v>0.37431192660550461</v>
      </c>
      <c r="AK80" t="s">
        <v>9</v>
      </c>
      <c r="AL80">
        <v>1</v>
      </c>
      <c r="AM80">
        <v>0.9</v>
      </c>
      <c r="AN80">
        <v>1.2099999999999999E-3</v>
      </c>
      <c r="AO80">
        <v>1.1900000000000001E-3</v>
      </c>
      <c r="AP80" s="1">
        <v>0.109</v>
      </c>
      <c r="AQ80" s="1">
        <v>1.9E-2</v>
      </c>
      <c r="AR80" s="1">
        <f t="shared" si="20"/>
        <v>0.1743119266055046</v>
      </c>
      <c r="AT80" s="12">
        <f>STDEV(AO80,AF80,W80,N80,E80)/ AVERAGE(AO80,AF80,W80,N80,E80)</f>
        <v>1.6718343644612332E-2</v>
      </c>
      <c r="AU80" s="7">
        <f t="shared" si="26"/>
        <v>3.6363636363636355E-2</v>
      </c>
    </row>
    <row r="82" spans="1:47" x14ac:dyDescent="0.35">
      <c r="A82" s="6" t="s">
        <v>13</v>
      </c>
      <c r="B82" s="6"/>
      <c r="C82" s="6"/>
      <c r="D82" s="6"/>
      <c r="E82" s="6"/>
      <c r="F82" s="6"/>
      <c r="G82" s="6"/>
      <c r="H82" s="6"/>
      <c r="AN82" s="6" t="s">
        <v>13</v>
      </c>
      <c r="AO82" s="6"/>
      <c r="AP82" s="6"/>
      <c r="AQ82" s="6"/>
      <c r="AR82" s="6"/>
      <c r="AS82" s="6"/>
      <c r="AT82" s="6"/>
      <c r="AU82" s="6"/>
    </row>
    <row r="83" spans="1:47" x14ac:dyDescent="0.35">
      <c r="A83" s="17" t="s">
        <v>0</v>
      </c>
      <c r="B83" t="s">
        <v>1</v>
      </c>
      <c r="C83" t="s">
        <v>2</v>
      </c>
      <c r="D83" t="s">
        <v>3</v>
      </c>
      <c r="E83" t="s">
        <v>4</v>
      </c>
      <c r="F83" t="s">
        <v>5</v>
      </c>
      <c r="G83" t="s">
        <v>6</v>
      </c>
      <c r="J83" t="s">
        <v>0</v>
      </c>
      <c r="K83" t="s">
        <v>1</v>
      </c>
      <c r="L83" t="s">
        <v>2</v>
      </c>
      <c r="M83" t="s">
        <v>3</v>
      </c>
      <c r="N83" t="s">
        <v>4</v>
      </c>
      <c r="O83" t="s">
        <v>5</v>
      </c>
      <c r="P83" t="s">
        <v>6</v>
      </c>
      <c r="S83" t="s">
        <v>0</v>
      </c>
      <c r="T83" t="s">
        <v>1</v>
      </c>
      <c r="U83" t="s">
        <v>2</v>
      </c>
      <c r="V83" t="s">
        <v>3</v>
      </c>
      <c r="W83" t="s">
        <v>4</v>
      </c>
      <c r="X83" t="s">
        <v>5</v>
      </c>
      <c r="Y83" t="s">
        <v>6</v>
      </c>
      <c r="AB83" t="s">
        <v>0</v>
      </c>
      <c r="AC83" t="s">
        <v>1</v>
      </c>
      <c r="AD83" t="s">
        <v>2</v>
      </c>
      <c r="AE83" t="s">
        <v>3</v>
      </c>
      <c r="AF83" t="s">
        <v>4</v>
      </c>
      <c r="AG83" t="s">
        <v>5</v>
      </c>
      <c r="AH83" t="s">
        <v>6</v>
      </c>
      <c r="AK83" t="s">
        <v>0</v>
      </c>
      <c r="AL83" t="s">
        <v>1</v>
      </c>
      <c r="AM83" t="s">
        <v>2</v>
      </c>
      <c r="AN83" t="s">
        <v>3</v>
      </c>
      <c r="AO83" t="s">
        <v>4</v>
      </c>
      <c r="AP83" t="s">
        <v>5</v>
      </c>
      <c r="AQ83" t="s">
        <v>6</v>
      </c>
      <c r="AT83" s="15"/>
    </row>
    <row r="84" spans="1:47" x14ac:dyDescent="0.35">
      <c r="A84" s="17" t="s">
        <v>7</v>
      </c>
      <c r="B84">
        <v>0.8</v>
      </c>
      <c r="C84">
        <v>0.2</v>
      </c>
      <c r="D84">
        <v>0.16200000000000001</v>
      </c>
      <c r="E84">
        <v>0.16200000000000001</v>
      </c>
      <c r="F84" s="1">
        <v>0</v>
      </c>
      <c r="G84" s="1">
        <v>-5.0000000000000001E-4</v>
      </c>
      <c r="H84" s="1" t="e">
        <f>ABS(G84/F84)</f>
        <v>#DIV/0!</v>
      </c>
      <c r="J84" t="s">
        <v>7</v>
      </c>
      <c r="K84">
        <v>0.8</v>
      </c>
      <c r="L84">
        <v>0.2</v>
      </c>
      <c r="M84">
        <v>0.16200000000000001</v>
      </c>
      <c r="N84">
        <v>0.16200000000000001</v>
      </c>
      <c r="O84" s="1">
        <v>0</v>
      </c>
      <c r="P84" s="1">
        <v>-8.0000000000000004E-4</v>
      </c>
      <c r="Q84" s="1" t="e">
        <f>ABS(P84/O84)</f>
        <v>#DIV/0!</v>
      </c>
      <c r="S84" t="s">
        <v>7</v>
      </c>
      <c r="T84">
        <v>0.8</v>
      </c>
      <c r="U84">
        <v>0.2</v>
      </c>
      <c r="V84">
        <v>0.16200000000000001</v>
      </c>
      <c r="W84">
        <v>0.16200000000000001</v>
      </c>
      <c r="X84" s="1">
        <v>0</v>
      </c>
      <c r="Y84" s="1">
        <v>-6.9999999999999999E-4</v>
      </c>
      <c r="Z84" s="1" t="e">
        <f>ABS(Y84/X84)</f>
        <v>#DIV/0!</v>
      </c>
      <c r="AB84" t="s">
        <v>7</v>
      </c>
      <c r="AC84">
        <v>0.8</v>
      </c>
      <c r="AD84">
        <v>0.2</v>
      </c>
      <c r="AE84">
        <v>0.16200000000000001</v>
      </c>
      <c r="AF84">
        <v>0.16200000000000001</v>
      </c>
      <c r="AG84" s="1">
        <v>0</v>
      </c>
      <c r="AH84" s="1">
        <v>-6.9999999999999999E-4</v>
      </c>
      <c r="AI84" s="1" t="e">
        <f>ABS(AH84/AG84)</f>
        <v>#DIV/0!</v>
      </c>
      <c r="AK84" t="s">
        <v>7</v>
      </c>
      <c r="AL84">
        <v>0.8</v>
      </c>
      <c r="AM84">
        <v>0.2</v>
      </c>
      <c r="AN84">
        <v>0.16200000000000001</v>
      </c>
      <c r="AO84">
        <v>0.16200000000000001</v>
      </c>
      <c r="AP84" s="1">
        <v>0</v>
      </c>
      <c r="AQ84" s="1">
        <v>-5.0000000000000001E-4</v>
      </c>
      <c r="AR84" s="1" t="e">
        <f>ABS(AQ84/AP84)</f>
        <v>#DIV/0!</v>
      </c>
      <c r="AT84" s="13">
        <f t="shared" ref="AT84:AT100" si="27">STDEV(AO84,AF84,W84,N84,E84)/ AVERAGE(AO84,AF84,W84,N84,E84)</f>
        <v>0</v>
      </c>
      <c r="AU84" s="8">
        <f>( D84 - AVERAGE(AO84,AF84,W84,N84,E84))/ D84</f>
        <v>0</v>
      </c>
    </row>
    <row r="85" spans="1:47" x14ac:dyDescent="0.35">
      <c r="A85" s="17" t="s">
        <v>7</v>
      </c>
      <c r="B85">
        <v>4</v>
      </c>
      <c r="C85">
        <v>0.2</v>
      </c>
      <c r="D85">
        <v>2.2699999999999999E-3</v>
      </c>
      <c r="E85">
        <v>2.2799999999999999E-3</v>
      </c>
      <c r="F85" s="1">
        <v>2E-3</v>
      </c>
      <c r="G85" s="1">
        <v>-4.1999999999999997E-3</v>
      </c>
      <c r="H85" s="1">
        <f t="shared" ref="H85:H101" si="28">ABS(G85/F85)</f>
        <v>2.0999999999999996</v>
      </c>
      <c r="J85" t="s">
        <v>7</v>
      </c>
      <c r="K85">
        <v>4</v>
      </c>
      <c r="L85">
        <v>0.2</v>
      </c>
      <c r="M85">
        <v>2.2699999999999999E-3</v>
      </c>
      <c r="N85">
        <v>2.2799999999999999E-3</v>
      </c>
      <c r="O85" s="1">
        <v>2E-3</v>
      </c>
      <c r="P85" s="1">
        <v>-4.1999999999999997E-3</v>
      </c>
      <c r="Q85" s="1">
        <f t="shared" ref="Q85:Q101" si="29">ABS(P85/O85)</f>
        <v>2.0999999999999996</v>
      </c>
      <c r="S85" t="s">
        <v>7</v>
      </c>
      <c r="T85">
        <v>4</v>
      </c>
      <c r="U85">
        <v>0.2</v>
      </c>
      <c r="V85">
        <v>2.2699999999999999E-3</v>
      </c>
      <c r="W85">
        <v>2.2799999999999999E-3</v>
      </c>
      <c r="X85" s="1">
        <v>2E-3</v>
      </c>
      <c r="Y85" s="1">
        <v>-3.5000000000000001E-3</v>
      </c>
      <c r="Z85" s="1">
        <f t="shared" ref="Z85:Z101" si="30">ABS(Y85/X85)</f>
        <v>1.75</v>
      </c>
      <c r="AB85" t="s">
        <v>7</v>
      </c>
      <c r="AC85">
        <v>4</v>
      </c>
      <c r="AD85">
        <v>0.2</v>
      </c>
      <c r="AE85">
        <v>2.2699999999999999E-3</v>
      </c>
      <c r="AF85">
        <v>2.2699999999999999E-3</v>
      </c>
      <c r="AG85" s="1">
        <v>2E-3</v>
      </c>
      <c r="AH85" s="1">
        <v>-2.2000000000000001E-3</v>
      </c>
      <c r="AI85" s="1">
        <f t="shared" ref="AI85:AI101" si="31">ABS(AH85/AG85)</f>
        <v>1.1000000000000001</v>
      </c>
      <c r="AK85" t="s">
        <v>7</v>
      </c>
      <c r="AL85">
        <v>4</v>
      </c>
      <c r="AM85">
        <v>0.2</v>
      </c>
      <c r="AN85">
        <v>2.2699999999999999E-3</v>
      </c>
      <c r="AO85">
        <v>2.2799999999999999E-3</v>
      </c>
      <c r="AP85" s="1">
        <v>2E-3</v>
      </c>
      <c r="AQ85" s="1">
        <v>-2.3E-3</v>
      </c>
      <c r="AR85" s="1">
        <f t="shared" ref="AR85:AR101" si="32">ABS(AQ85/AP85)</f>
        <v>1.1499999999999999</v>
      </c>
      <c r="AT85" s="13">
        <f t="shared" si="27"/>
        <v>1.963185230465141E-3</v>
      </c>
      <c r="AU85" s="8">
        <f t="shared" ref="AU85:AU101" si="33">( D85 - AVERAGE(AO85,AF85,W85,N85,E85))/ D85</f>
        <v>-3.5242290748899539E-3</v>
      </c>
    </row>
    <row r="86" spans="1:47" x14ac:dyDescent="0.35">
      <c r="A86" s="17" t="s">
        <v>7</v>
      </c>
      <c r="B86">
        <v>8</v>
      </c>
      <c r="C86">
        <v>0.2</v>
      </c>
      <c r="D86">
        <v>1.2999999999999999E-5</v>
      </c>
      <c r="E86">
        <v>1.33E-5</v>
      </c>
      <c r="F86" s="1">
        <v>4.7E-2</v>
      </c>
      <c r="G86" s="1">
        <v>-0.02</v>
      </c>
      <c r="H86" s="1">
        <f t="shared" si="28"/>
        <v>0.42553191489361702</v>
      </c>
      <c r="J86" t="s">
        <v>7</v>
      </c>
      <c r="K86">
        <v>8</v>
      </c>
      <c r="L86">
        <v>0.2</v>
      </c>
      <c r="M86">
        <v>1.2999999999999999E-5</v>
      </c>
      <c r="N86">
        <v>1.2500000000000001E-5</v>
      </c>
      <c r="O86" s="1">
        <v>4.7E-2</v>
      </c>
      <c r="P86" s="1">
        <v>4.0800000000000003E-2</v>
      </c>
      <c r="Q86" s="1">
        <f t="shared" si="29"/>
        <v>0.86808510638297876</v>
      </c>
      <c r="S86" t="s">
        <v>7</v>
      </c>
      <c r="T86">
        <v>8</v>
      </c>
      <c r="U86">
        <v>0.2</v>
      </c>
      <c r="V86">
        <v>1.2999999999999999E-5</v>
      </c>
      <c r="W86">
        <v>1.34E-5</v>
      </c>
      <c r="X86" s="1">
        <v>4.7E-2</v>
      </c>
      <c r="Y86" s="1">
        <v>-3.3099999999999997E-2</v>
      </c>
      <c r="Z86" s="1">
        <f t="shared" si="30"/>
        <v>0.70425531914893613</v>
      </c>
      <c r="AB86" t="s">
        <v>7</v>
      </c>
      <c r="AC86">
        <v>8</v>
      </c>
      <c r="AD86">
        <v>0.2</v>
      </c>
      <c r="AE86">
        <v>1.2999999999999999E-5</v>
      </c>
      <c r="AF86">
        <v>1.3499999999999999E-5</v>
      </c>
      <c r="AG86" s="1">
        <v>4.7E-2</v>
      </c>
      <c r="AH86" s="1">
        <v>-3.6200000000000003E-2</v>
      </c>
      <c r="AI86" s="1">
        <f t="shared" si="31"/>
        <v>0.77021276595744692</v>
      </c>
      <c r="AK86" t="s">
        <v>7</v>
      </c>
      <c r="AL86">
        <v>8</v>
      </c>
      <c r="AM86">
        <v>0.2</v>
      </c>
      <c r="AN86">
        <v>1.2999999999999999E-5</v>
      </c>
      <c r="AO86">
        <v>1.3499999999999999E-5</v>
      </c>
      <c r="AP86" s="1">
        <v>4.7E-2</v>
      </c>
      <c r="AQ86" s="1">
        <v>-3.85E-2</v>
      </c>
      <c r="AR86" s="1">
        <f t="shared" si="32"/>
        <v>0.81914893617021278</v>
      </c>
      <c r="AT86" s="13">
        <f t="shared" si="27"/>
        <v>3.1865593821342852E-2</v>
      </c>
      <c r="AU86" s="8">
        <f t="shared" si="33"/>
        <v>-1.8461538461538415E-2</v>
      </c>
    </row>
    <row r="87" spans="1:47" x14ac:dyDescent="0.35">
      <c r="A87" s="17" t="s">
        <v>8</v>
      </c>
      <c r="B87">
        <v>0.8</v>
      </c>
      <c r="C87">
        <v>0.2</v>
      </c>
      <c r="D87">
        <v>9.6599999999999995E-4</v>
      </c>
      <c r="E87">
        <v>9.7000000000000005E-4</v>
      </c>
      <c r="F87" s="1">
        <v>2.3E-2</v>
      </c>
      <c r="G87" s="1">
        <v>-4.1999999999999997E-3</v>
      </c>
      <c r="H87" s="1">
        <f t="shared" si="28"/>
        <v>0.18260869565217391</v>
      </c>
      <c r="J87" t="s">
        <v>8</v>
      </c>
      <c r="K87">
        <v>0.8</v>
      </c>
      <c r="L87">
        <v>0.2</v>
      </c>
      <c r="M87">
        <v>9.6599999999999995E-4</v>
      </c>
      <c r="N87">
        <v>9.6500000000000004E-4</v>
      </c>
      <c r="O87" s="1">
        <v>2.3E-2</v>
      </c>
      <c r="P87" s="1">
        <v>1.1999999999999999E-3</v>
      </c>
      <c r="Q87" s="1">
        <f t="shared" si="29"/>
        <v>5.2173913043478258E-2</v>
      </c>
      <c r="S87" t="s">
        <v>8</v>
      </c>
      <c r="T87">
        <v>0.8</v>
      </c>
      <c r="U87">
        <v>0.2</v>
      </c>
      <c r="V87">
        <v>9.6599999999999995E-4</v>
      </c>
      <c r="W87">
        <v>9.4600000000000001E-4</v>
      </c>
      <c r="X87" s="1">
        <v>2.3E-2</v>
      </c>
      <c r="Y87" s="1">
        <v>2.1100000000000001E-2</v>
      </c>
      <c r="Z87" s="1">
        <f t="shared" si="30"/>
        <v>0.91739130434782612</v>
      </c>
      <c r="AB87" t="s">
        <v>8</v>
      </c>
      <c r="AC87">
        <v>0.8</v>
      </c>
      <c r="AD87">
        <v>0.2</v>
      </c>
      <c r="AE87">
        <v>9.6599999999999995E-4</v>
      </c>
      <c r="AF87">
        <v>9.6900000000000003E-4</v>
      </c>
      <c r="AG87" s="1">
        <v>2.3E-2</v>
      </c>
      <c r="AH87" s="1">
        <v>-2.7000000000000001E-3</v>
      </c>
      <c r="AI87" s="1">
        <f t="shared" si="31"/>
        <v>0.11739130434782609</v>
      </c>
      <c r="AK87" t="s">
        <v>8</v>
      </c>
      <c r="AL87">
        <v>0.8</v>
      </c>
      <c r="AM87">
        <v>0.2</v>
      </c>
      <c r="AN87">
        <v>9.6599999999999995E-4</v>
      </c>
      <c r="AO87">
        <v>9.6900000000000003E-4</v>
      </c>
      <c r="AP87" s="1">
        <v>2.3E-2</v>
      </c>
      <c r="AQ87" s="1">
        <v>-3.0000000000000001E-3</v>
      </c>
      <c r="AR87" s="1">
        <f t="shared" si="32"/>
        <v>0.13043478260869565</v>
      </c>
      <c r="AT87" s="14">
        <f t="shared" si="27"/>
        <v>1.0514734227149406E-2</v>
      </c>
      <c r="AU87" s="9">
        <f t="shared" si="33"/>
        <v>2.2774327122151521E-3</v>
      </c>
    </row>
    <row r="88" spans="1:47" x14ac:dyDescent="0.35">
      <c r="A88" s="17" t="s">
        <v>8</v>
      </c>
      <c r="B88">
        <v>4</v>
      </c>
      <c r="C88">
        <v>0.2</v>
      </c>
      <c r="D88">
        <v>1.3699999999999999E-5</v>
      </c>
      <c r="E88">
        <v>1.34E-5</v>
      </c>
      <c r="F88" s="1">
        <v>6.3E-2</v>
      </c>
      <c r="G88" s="1">
        <v>2.5499999999999998E-2</v>
      </c>
      <c r="H88" s="1">
        <f t="shared" si="28"/>
        <v>0.40476190476190471</v>
      </c>
      <c r="J88" t="s">
        <v>8</v>
      </c>
      <c r="K88">
        <v>4</v>
      </c>
      <c r="L88">
        <v>0.2</v>
      </c>
      <c r="M88">
        <v>1.3699999999999999E-5</v>
      </c>
      <c r="N88">
        <v>1.34E-5</v>
      </c>
      <c r="O88" s="1">
        <v>6.3E-2</v>
      </c>
      <c r="P88" s="1">
        <v>2.3400000000000001E-2</v>
      </c>
      <c r="Q88" s="1">
        <f t="shared" si="29"/>
        <v>0.37142857142857144</v>
      </c>
      <c r="S88" t="s">
        <v>8</v>
      </c>
      <c r="T88">
        <v>4</v>
      </c>
      <c r="U88">
        <v>0.2</v>
      </c>
      <c r="V88">
        <v>1.3699999999999999E-5</v>
      </c>
      <c r="W88">
        <v>1.3699999999999999E-5</v>
      </c>
      <c r="X88" s="1">
        <v>6.3E-2</v>
      </c>
      <c r="Y88" s="1">
        <v>1.5E-3</v>
      </c>
      <c r="Z88" s="1">
        <f t="shared" si="30"/>
        <v>2.3809523809523808E-2</v>
      </c>
      <c r="AB88" t="s">
        <v>8</v>
      </c>
      <c r="AC88">
        <v>4</v>
      </c>
      <c r="AD88">
        <v>0.2</v>
      </c>
      <c r="AE88">
        <v>1.3699999999999999E-5</v>
      </c>
      <c r="AF88">
        <v>1.29E-5</v>
      </c>
      <c r="AG88" s="1">
        <v>6.3E-2</v>
      </c>
      <c r="AH88" s="1">
        <v>5.7700000000000001E-2</v>
      </c>
      <c r="AI88" s="1">
        <f t="shared" si="31"/>
        <v>0.91587301587301584</v>
      </c>
      <c r="AK88" t="s">
        <v>8</v>
      </c>
      <c r="AL88">
        <v>4</v>
      </c>
      <c r="AM88">
        <v>0.2</v>
      </c>
      <c r="AN88">
        <v>1.3699999999999999E-5</v>
      </c>
      <c r="AO88">
        <v>1.2999999999999999E-5</v>
      </c>
      <c r="AP88" s="1">
        <v>6.3E-2</v>
      </c>
      <c r="AQ88" s="1">
        <v>5.2600000000000001E-2</v>
      </c>
      <c r="AR88" s="1">
        <f t="shared" si="32"/>
        <v>0.83492063492063495</v>
      </c>
      <c r="AT88" s="14">
        <f t="shared" si="27"/>
        <v>2.4631667520777296E-2</v>
      </c>
      <c r="AU88" s="9">
        <f t="shared" si="33"/>
        <v>3.0656934306569298E-2</v>
      </c>
    </row>
    <row r="89" spans="1:47" x14ac:dyDescent="0.35">
      <c r="A89" s="17" t="s">
        <v>8</v>
      </c>
      <c r="B89">
        <v>8</v>
      </c>
      <c r="C89">
        <v>0.2</v>
      </c>
      <c r="D89">
        <v>7.2800000000000003E-8</v>
      </c>
      <c r="E89">
        <v>1.1000000000000001E-7</v>
      </c>
      <c r="F89" s="1">
        <v>0.187</v>
      </c>
      <c r="G89" s="1">
        <v>-0.51100000000000001</v>
      </c>
      <c r="H89" s="1">
        <f t="shared" si="28"/>
        <v>2.7326203208556152</v>
      </c>
      <c r="J89" t="s">
        <v>8</v>
      </c>
      <c r="K89">
        <v>8</v>
      </c>
      <c r="L89">
        <v>0.2</v>
      </c>
      <c r="M89">
        <v>7.2800000000000003E-8</v>
      </c>
      <c r="N89">
        <v>5.9999999999999995E-8</v>
      </c>
      <c r="O89" s="1">
        <v>0.187</v>
      </c>
      <c r="P89" s="1">
        <v>0.17580000000000001</v>
      </c>
      <c r="Q89" s="1">
        <f t="shared" si="29"/>
        <v>0.94010695187165783</v>
      </c>
      <c r="S89" t="s">
        <v>8</v>
      </c>
      <c r="T89">
        <v>8</v>
      </c>
      <c r="U89">
        <v>0.2</v>
      </c>
      <c r="V89">
        <v>7.2800000000000003E-8</v>
      </c>
      <c r="W89">
        <v>2E-8</v>
      </c>
      <c r="X89" s="1">
        <v>0.187</v>
      </c>
      <c r="Y89" s="1">
        <v>0.72529999999999994</v>
      </c>
      <c r="Z89" s="1">
        <f t="shared" si="30"/>
        <v>3.878609625668449</v>
      </c>
      <c r="AB89" t="s">
        <v>8</v>
      </c>
      <c r="AC89">
        <v>8</v>
      </c>
      <c r="AD89">
        <v>0.2</v>
      </c>
      <c r="AE89">
        <v>7.2800000000000003E-8</v>
      </c>
      <c r="AF89">
        <v>5.9999999999999995E-8</v>
      </c>
      <c r="AG89" s="1">
        <v>0.187</v>
      </c>
      <c r="AH89" s="1">
        <v>0.17580000000000001</v>
      </c>
      <c r="AI89" s="1">
        <f t="shared" si="31"/>
        <v>0.94010695187165783</v>
      </c>
      <c r="AK89" t="s">
        <v>8</v>
      </c>
      <c r="AL89">
        <v>8</v>
      </c>
      <c r="AM89">
        <v>0.2</v>
      </c>
      <c r="AN89">
        <v>7.2800000000000003E-8</v>
      </c>
      <c r="AO89">
        <v>8.9999999999999999E-8</v>
      </c>
      <c r="AP89" s="1">
        <v>0.187</v>
      </c>
      <c r="AQ89" s="1">
        <v>-0.23630000000000001</v>
      </c>
      <c r="AR89" s="1">
        <f t="shared" si="32"/>
        <v>1.2636363636363637</v>
      </c>
      <c r="AT89" s="14">
        <f t="shared" si="27"/>
        <v>0.50301856989667848</v>
      </c>
      <c r="AU89" s="9">
        <f t="shared" si="33"/>
        <v>6.5934065934065977E-2</v>
      </c>
    </row>
    <row r="90" spans="1:47" x14ac:dyDescent="0.35">
      <c r="A90" s="17" t="s">
        <v>9</v>
      </c>
      <c r="B90">
        <v>0.8</v>
      </c>
      <c r="C90">
        <v>0.2</v>
      </c>
      <c r="D90">
        <v>5.4700000000000001E-5</v>
      </c>
      <c r="E90">
        <v>5.4200000000000003E-5</v>
      </c>
      <c r="F90" s="1">
        <v>0.06</v>
      </c>
      <c r="G90" s="1">
        <v>9.7000000000000003E-3</v>
      </c>
      <c r="H90" s="1">
        <f t="shared" si="28"/>
        <v>0.16166666666666668</v>
      </c>
      <c r="J90" t="s">
        <v>9</v>
      </c>
      <c r="K90">
        <v>0.8</v>
      </c>
      <c r="L90">
        <v>0.2</v>
      </c>
      <c r="M90">
        <v>5.4700000000000001E-5</v>
      </c>
      <c r="N90">
        <v>5.5399999999999998E-5</v>
      </c>
      <c r="O90" s="1">
        <v>0.06</v>
      </c>
      <c r="P90" s="1">
        <v>-1.3299999999999999E-2</v>
      </c>
      <c r="Q90" s="1">
        <f t="shared" si="29"/>
        <v>0.22166666666666665</v>
      </c>
      <c r="S90" t="s">
        <v>9</v>
      </c>
      <c r="T90">
        <v>0.8</v>
      </c>
      <c r="U90">
        <v>0.2</v>
      </c>
      <c r="V90">
        <v>5.4700000000000001E-5</v>
      </c>
      <c r="W90">
        <v>5.52E-5</v>
      </c>
      <c r="X90" s="1">
        <v>0.06</v>
      </c>
      <c r="Y90" s="1">
        <v>-8.8000000000000005E-3</v>
      </c>
      <c r="Z90" s="1">
        <f t="shared" si="30"/>
        <v>0.14666666666666667</v>
      </c>
      <c r="AB90" t="s">
        <v>9</v>
      </c>
      <c r="AC90">
        <v>0.8</v>
      </c>
      <c r="AD90">
        <v>0.2</v>
      </c>
      <c r="AE90">
        <v>5.4700000000000001E-5</v>
      </c>
      <c r="AF90">
        <v>5.3699999999999997E-5</v>
      </c>
      <c r="AG90" s="1">
        <v>0.06</v>
      </c>
      <c r="AH90" s="1">
        <v>1.9E-2</v>
      </c>
      <c r="AI90" s="1">
        <f t="shared" si="31"/>
        <v>0.31666666666666665</v>
      </c>
      <c r="AK90" t="s">
        <v>9</v>
      </c>
      <c r="AL90">
        <v>0.8</v>
      </c>
      <c r="AM90">
        <v>0.2</v>
      </c>
      <c r="AN90">
        <v>5.4700000000000001E-5</v>
      </c>
      <c r="AO90">
        <v>5.2599999999999998E-5</v>
      </c>
      <c r="AP90" s="1">
        <v>0.06</v>
      </c>
      <c r="AQ90" s="1">
        <v>3.7499999999999999E-2</v>
      </c>
      <c r="AR90" s="1">
        <f t="shared" si="32"/>
        <v>0.625</v>
      </c>
      <c r="AT90" s="12">
        <f t="shared" si="27"/>
        <v>2.1125519827777741E-2</v>
      </c>
      <c r="AU90" s="7">
        <f t="shared" si="33"/>
        <v>8.7751371115175301E-3</v>
      </c>
    </row>
    <row r="91" spans="1:47" x14ac:dyDescent="0.35">
      <c r="A91" s="17" t="s">
        <v>9</v>
      </c>
      <c r="B91">
        <v>4</v>
      </c>
      <c r="C91">
        <v>0.2</v>
      </c>
      <c r="D91">
        <v>6.2399999999999998E-7</v>
      </c>
      <c r="E91">
        <v>7.6000000000000003E-7</v>
      </c>
      <c r="F91" s="1">
        <v>0.35499999999999998</v>
      </c>
      <c r="G91" s="1">
        <v>-0.21790000000000001</v>
      </c>
      <c r="H91" s="1">
        <f t="shared" si="28"/>
        <v>0.61380281690140848</v>
      </c>
      <c r="J91" t="s">
        <v>9</v>
      </c>
      <c r="K91">
        <v>4</v>
      </c>
      <c r="L91">
        <v>0.2</v>
      </c>
      <c r="M91">
        <v>6.2399999999999998E-7</v>
      </c>
      <c r="N91">
        <v>7.6000000000000003E-7</v>
      </c>
      <c r="O91" s="1">
        <v>0.35499999999999998</v>
      </c>
      <c r="P91" s="1">
        <v>-0.21790000000000001</v>
      </c>
      <c r="Q91" s="1">
        <f t="shared" si="29"/>
        <v>0.61380281690140848</v>
      </c>
      <c r="S91" t="s">
        <v>9</v>
      </c>
      <c r="T91">
        <v>4</v>
      </c>
      <c r="U91">
        <v>0.2</v>
      </c>
      <c r="V91">
        <v>6.2399999999999998E-7</v>
      </c>
      <c r="W91">
        <v>2.4999999999999999E-7</v>
      </c>
      <c r="X91" s="1">
        <v>0.35499999999999998</v>
      </c>
      <c r="Y91" s="1">
        <v>0.59940000000000004</v>
      </c>
      <c r="Z91" s="1">
        <f t="shared" si="30"/>
        <v>1.6884507042253523</v>
      </c>
      <c r="AB91" t="s">
        <v>9</v>
      </c>
      <c r="AC91">
        <v>4</v>
      </c>
      <c r="AD91">
        <v>0.2</v>
      </c>
      <c r="AE91">
        <v>6.2399999999999998E-7</v>
      </c>
      <c r="AF91">
        <v>7.6000000000000003E-7</v>
      </c>
      <c r="AG91" s="1">
        <v>0.35499999999999998</v>
      </c>
      <c r="AH91" s="1">
        <v>-0.21790000000000001</v>
      </c>
      <c r="AI91" s="1">
        <f t="shared" si="31"/>
        <v>0.61380281690140848</v>
      </c>
      <c r="AK91" t="s">
        <v>9</v>
      </c>
      <c r="AL91">
        <v>4</v>
      </c>
      <c r="AM91">
        <v>0.2</v>
      </c>
      <c r="AN91">
        <v>6.2399999999999998E-7</v>
      </c>
      <c r="AO91">
        <v>7.6000000000000003E-7</v>
      </c>
      <c r="AP91" s="1">
        <v>0.35499999999999998</v>
      </c>
      <c r="AQ91" s="1">
        <v>-0.21790000000000001</v>
      </c>
      <c r="AR91" s="1">
        <f t="shared" si="32"/>
        <v>0.61380281690140848</v>
      </c>
      <c r="AT91" s="12">
        <f t="shared" si="27"/>
        <v>0.34662451930847804</v>
      </c>
      <c r="AU91" s="7">
        <f t="shared" si="33"/>
        <v>-5.4487179487179509E-2</v>
      </c>
    </row>
    <row r="92" spans="1:47" x14ac:dyDescent="0.35">
      <c r="A92" s="17" t="s">
        <v>9</v>
      </c>
      <c r="B92">
        <v>8</v>
      </c>
      <c r="C92">
        <v>0.2</v>
      </c>
      <c r="D92">
        <v>4.0199999999999998E-9</v>
      </c>
      <c r="E92">
        <v>0</v>
      </c>
      <c r="F92" s="1">
        <v>0.248</v>
      </c>
      <c r="G92" s="1">
        <v>1</v>
      </c>
      <c r="H92" s="1">
        <f t="shared" si="28"/>
        <v>4.032258064516129</v>
      </c>
      <c r="J92" t="s">
        <v>9</v>
      </c>
      <c r="K92">
        <v>8</v>
      </c>
      <c r="L92">
        <v>0.2</v>
      </c>
      <c r="M92">
        <v>4.0199999999999998E-9</v>
      </c>
      <c r="N92">
        <v>0</v>
      </c>
      <c r="O92" s="1">
        <v>0.248</v>
      </c>
      <c r="P92" s="1">
        <v>1</v>
      </c>
      <c r="Q92" s="1">
        <f t="shared" si="29"/>
        <v>4.032258064516129</v>
      </c>
      <c r="S92" t="s">
        <v>9</v>
      </c>
      <c r="T92">
        <v>8</v>
      </c>
      <c r="U92">
        <v>0.2</v>
      </c>
      <c r="V92">
        <v>4.0199999999999998E-9</v>
      </c>
      <c r="W92">
        <v>0</v>
      </c>
      <c r="X92" s="1">
        <v>0.248</v>
      </c>
      <c r="Y92" s="1">
        <v>1</v>
      </c>
      <c r="Z92" s="1">
        <f t="shared" si="30"/>
        <v>4.032258064516129</v>
      </c>
      <c r="AB92" t="s">
        <v>9</v>
      </c>
      <c r="AC92">
        <v>8</v>
      </c>
      <c r="AD92">
        <v>0.2</v>
      </c>
      <c r="AE92">
        <v>4.0199999999999998E-9</v>
      </c>
      <c r="AF92">
        <v>0</v>
      </c>
      <c r="AG92" s="1">
        <v>0.248</v>
      </c>
      <c r="AH92" s="1">
        <v>1</v>
      </c>
      <c r="AI92" s="1">
        <f t="shared" si="31"/>
        <v>4.032258064516129</v>
      </c>
      <c r="AK92" t="s">
        <v>9</v>
      </c>
      <c r="AL92">
        <v>8</v>
      </c>
      <c r="AM92">
        <v>0.2</v>
      </c>
      <c r="AN92">
        <v>4.0199999999999998E-9</v>
      </c>
      <c r="AO92">
        <v>0</v>
      </c>
      <c r="AP92" s="1">
        <v>0.248</v>
      </c>
      <c r="AQ92" s="1">
        <v>1</v>
      </c>
      <c r="AR92" s="1">
        <f t="shared" si="32"/>
        <v>4.032258064516129</v>
      </c>
      <c r="AT92" s="12" t="e">
        <f t="shared" si="27"/>
        <v>#DIV/0!</v>
      </c>
      <c r="AU92" s="7">
        <f t="shared" si="33"/>
        <v>1</v>
      </c>
    </row>
    <row r="93" spans="1:47" x14ac:dyDescent="0.35">
      <c r="A93" s="17" t="s">
        <v>7</v>
      </c>
      <c r="B93">
        <v>0.1</v>
      </c>
      <c r="C93">
        <v>0.9</v>
      </c>
      <c r="D93">
        <v>0.41299999999999998</v>
      </c>
      <c r="E93">
        <v>0.41299999999999998</v>
      </c>
      <c r="F93" s="1">
        <v>1E-3</v>
      </c>
      <c r="G93" s="1">
        <v>-1.1999999999999999E-3</v>
      </c>
      <c r="H93" s="1">
        <f t="shared" si="28"/>
        <v>1.2</v>
      </c>
      <c r="J93" t="s">
        <v>7</v>
      </c>
      <c r="K93">
        <v>0.1</v>
      </c>
      <c r="L93">
        <v>0.9</v>
      </c>
      <c r="M93">
        <v>0.41299999999999998</v>
      </c>
      <c r="N93">
        <v>0.41399999999999998</v>
      </c>
      <c r="O93" s="1">
        <v>1E-3</v>
      </c>
      <c r="P93" s="1">
        <v>-1.1999999999999999E-3</v>
      </c>
      <c r="Q93" s="1">
        <f t="shared" si="29"/>
        <v>1.2</v>
      </c>
      <c r="S93" t="s">
        <v>7</v>
      </c>
      <c r="T93">
        <v>0.1</v>
      </c>
      <c r="U93">
        <v>0.9</v>
      </c>
      <c r="V93">
        <v>0.41299999999999998</v>
      </c>
      <c r="W93">
        <v>0.41299999999999998</v>
      </c>
      <c r="X93" s="1">
        <v>1E-3</v>
      </c>
      <c r="Y93" s="1">
        <v>-1.1000000000000001E-3</v>
      </c>
      <c r="Z93" s="1">
        <f t="shared" si="30"/>
        <v>1.1000000000000001</v>
      </c>
      <c r="AB93" t="s">
        <v>7</v>
      </c>
      <c r="AC93">
        <v>0.1</v>
      </c>
      <c r="AD93">
        <v>0.9</v>
      </c>
      <c r="AE93">
        <v>0.41299999999999998</v>
      </c>
      <c r="AF93">
        <v>0.41399999999999998</v>
      </c>
      <c r="AG93" s="1">
        <v>1E-3</v>
      </c>
      <c r="AH93" s="1">
        <v>-1.2999999999999999E-3</v>
      </c>
      <c r="AI93" s="1">
        <f t="shared" si="31"/>
        <v>1.2999999999999998</v>
      </c>
      <c r="AK93" t="s">
        <v>7</v>
      </c>
      <c r="AL93">
        <v>0.1</v>
      </c>
      <c r="AM93">
        <v>0.9</v>
      </c>
      <c r="AN93">
        <v>0.41299999999999998</v>
      </c>
      <c r="AO93">
        <v>0.41299999999999998</v>
      </c>
      <c r="AP93" s="1">
        <v>1E-3</v>
      </c>
      <c r="AQ93" s="1">
        <v>-1.1000000000000001E-3</v>
      </c>
      <c r="AR93" s="1">
        <f t="shared" si="32"/>
        <v>1.1000000000000001</v>
      </c>
      <c r="AT93" s="13">
        <f t="shared" si="27"/>
        <v>1.3249215227507662E-3</v>
      </c>
      <c r="AU93" s="8">
        <f t="shared" si="33"/>
        <v>-9.6852300242120093E-4</v>
      </c>
    </row>
    <row r="94" spans="1:47" x14ac:dyDescent="0.35">
      <c r="A94" s="17" t="s">
        <v>7</v>
      </c>
      <c r="B94">
        <v>0.5</v>
      </c>
      <c r="C94">
        <v>0.9</v>
      </c>
      <c r="D94">
        <v>0.187</v>
      </c>
      <c r="E94">
        <v>0.187</v>
      </c>
      <c r="F94" s="1">
        <v>5.0000000000000001E-3</v>
      </c>
      <c r="G94" s="1">
        <v>-1.6000000000000001E-3</v>
      </c>
      <c r="H94" s="1">
        <f t="shared" si="28"/>
        <v>0.32</v>
      </c>
      <c r="J94" t="s">
        <v>7</v>
      </c>
      <c r="K94">
        <v>0.5</v>
      </c>
      <c r="L94">
        <v>0.9</v>
      </c>
      <c r="M94">
        <v>0.187</v>
      </c>
      <c r="N94">
        <v>0.187</v>
      </c>
      <c r="O94" s="1">
        <v>5.0000000000000001E-3</v>
      </c>
      <c r="P94" s="1">
        <v>-1.6000000000000001E-3</v>
      </c>
      <c r="Q94" s="1">
        <f t="shared" si="29"/>
        <v>0.32</v>
      </c>
      <c r="S94" t="s">
        <v>7</v>
      </c>
      <c r="T94">
        <v>0.5</v>
      </c>
      <c r="U94">
        <v>0.9</v>
      </c>
      <c r="V94">
        <v>0.187</v>
      </c>
      <c r="W94">
        <v>0.187</v>
      </c>
      <c r="X94" s="1">
        <v>5.0000000000000001E-3</v>
      </c>
      <c r="Y94" s="1">
        <v>-1.9E-3</v>
      </c>
      <c r="Z94" s="1">
        <f t="shared" si="30"/>
        <v>0.38</v>
      </c>
      <c r="AB94" t="s">
        <v>7</v>
      </c>
      <c r="AC94">
        <v>0.5</v>
      </c>
      <c r="AD94">
        <v>0.9</v>
      </c>
      <c r="AE94">
        <v>0.187</v>
      </c>
      <c r="AF94">
        <v>0.187</v>
      </c>
      <c r="AG94" s="1">
        <v>5.0000000000000001E-3</v>
      </c>
      <c r="AH94" s="1">
        <v>-2E-3</v>
      </c>
      <c r="AI94" s="1">
        <f t="shared" si="31"/>
        <v>0.4</v>
      </c>
      <c r="AK94" t="s">
        <v>7</v>
      </c>
      <c r="AL94">
        <v>0.5</v>
      </c>
      <c r="AM94">
        <v>0.9</v>
      </c>
      <c r="AN94">
        <v>0.187</v>
      </c>
      <c r="AO94">
        <v>0.187</v>
      </c>
      <c r="AP94" s="1">
        <v>5.0000000000000001E-3</v>
      </c>
      <c r="AQ94" s="1">
        <v>-1.9E-3</v>
      </c>
      <c r="AR94" s="1">
        <f t="shared" si="32"/>
        <v>0.38</v>
      </c>
      <c r="AT94" s="13">
        <f t="shared" si="27"/>
        <v>0</v>
      </c>
      <c r="AU94" s="8">
        <f t="shared" si="33"/>
        <v>0</v>
      </c>
    </row>
    <row r="95" spans="1:47" x14ac:dyDescent="0.35">
      <c r="A95" s="17" t="s">
        <v>7</v>
      </c>
      <c r="B95">
        <v>1</v>
      </c>
      <c r="C95">
        <v>0.9</v>
      </c>
      <c r="D95">
        <v>6.8500000000000005E-2</v>
      </c>
      <c r="E95">
        <v>6.8699999999999997E-2</v>
      </c>
      <c r="F95" s="1">
        <v>0.01</v>
      </c>
      <c r="G95" s="1">
        <v>-3.2000000000000002E-3</v>
      </c>
      <c r="H95" s="1">
        <f t="shared" si="28"/>
        <v>0.32</v>
      </c>
      <c r="J95" t="s">
        <v>7</v>
      </c>
      <c r="K95">
        <v>1</v>
      </c>
      <c r="L95">
        <v>0.9</v>
      </c>
      <c r="M95">
        <v>6.8500000000000005E-2</v>
      </c>
      <c r="N95">
        <v>6.8699999999999997E-2</v>
      </c>
      <c r="O95" s="1">
        <v>0.01</v>
      </c>
      <c r="P95" s="1">
        <v>-2.8E-3</v>
      </c>
      <c r="Q95" s="1">
        <f t="shared" si="29"/>
        <v>0.27999999999999997</v>
      </c>
      <c r="S95" t="s">
        <v>7</v>
      </c>
      <c r="T95">
        <v>1</v>
      </c>
      <c r="U95">
        <v>0.9</v>
      </c>
      <c r="V95">
        <v>6.8500000000000005E-2</v>
      </c>
      <c r="W95">
        <v>6.8699999999999997E-2</v>
      </c>
      <c r="X95" s="1">
        <v>0.01</v>
      </c>
      <c r="Y95" s="1">
        <v>-2.5000000000000001E-3</v>
      </c>
      <c r="Z95" s="1">
        <f t="shared" si="30"/>
        <v>0.25</v>
      </c>
      <c r="AB95" t="s">
        <v>7</v>
      </c>
      <c r="AC95">
        <v>1</v>
      </c>
      <c r="AD95">
        <v>0.9</v>
      </c>
      <c r="AE95">
        <v>6.8500000000000005E-2</v>
      </c>
      <c r="AF95">
        <v>6.8699999999999997E-2</v>
      </c>
      <c r="AG95" s="1">
        <v>0.01</v>
      </c>
      <c r="AH95" s="1">
        <v>-2.8999999999999998E-3</v>
      </c>
      <c r="AI95" s="1">
        <f t="shared" si="31"/>
        <v>0.28999999999999998</v>
      </c>
      <c r="AK95" t="s">
        <v>7</v>
      </c>
      <c r="AL95">
        <v>1</v>
      </c>
      <c r="AM95">
        <v>0.9</v>
      </c>
      <c r="AN95">
        <v>6.8500000000000005E-2</v>
      </c>
      <c r="AO95">
        <v>6.8699999999999997E-2</v>
      </c>
      <c r="AP95" s="1">
        <v>0.01</v>
      </c>
      <c r="AQ95" s="1">
        <v>-3.0000000000000001E-3</v>
      </c>
      <c r="AR95" s="1">
        <f t="shared" si="32"/>
        <v>0.3</v>
      </c>
      <c r="AT95" s="13">
        <f t="shared" si="27"/>
        <v>0</v>
      </c>
      <c r="AU95" s="8">
        <f t="shared" si="33"/>
        <v>-2.9197080291969613E-3</v>
      </c>
    </row>
    <row r="96" spans="1:47" x14ac:dyDescent="0.35">
      <c r="A96" s="17" t="s">
        <v>8</v>
      </c>
      <c r="B96">
        <v>0.1</v>
      </c>
      <c r="C96">
        <v>0.9</v>
      </c>
      <c r="D96">
        <v>9.3100000000000002E-2</v>
      </c>
      <c r="E96">
        <v>9.2999999999999999E-2</v>
      </c>
      <c r="F96" s="1">
        <v>2.1000000000000001E-2</v>
      </c>
      <c r="G96" s="1">
        <v>1.5E-3</v>
      </c>
      <c r="H96" s="1">
        <f t="shared" si="28"/>
        <v>7.1428571428571425E-2</v>
      </c>
      <c r="J96" t="s">
        <v>8</v>
      </c>
      <c r="K96">
        <v>0.1</v>
      </c>
      <c r="L96">
        <v>0.9</v>
      </c>
      <c r="M96">
        <v>9.3100000000000002E-2</v>
      </c>
      <c r="N96">
        <v>9.2899999999999996E-2</v>
      </c>
      <c r="O96" s="1">
        <v>2.1000000000000001E-2</v>
      </c>
      <c r="P96" s="1">
        <v>2.5000000000000001E-3</v>
      </c>
      <c r="Q96" s="1">
        <f t="shared" si="29"/>
        <v>0.11904761904761904</v>
      </c>
      <c r="S96" t="s">
        <v>8</v>
      </c>
      <c r="T96">
        <v>0.1</v>
      </c>
      <c r="U96">
        <v>0.9</v>
      </c>
      <c r="V96">
        <v>9.3100000000000002E-2</v>
      </c>
      <c r="W96">
        <v>9.3100000000000002E-2</v>
      </c>
      <c r="X96" s="1">
        <v>2.1000000000000001E-2</v>
      </c>
      <c r="Y96" s="1">
        <v>5.0000000000000001E-4</v>
      </c>
      <c r="Z96" s="1">
        <f t="shared" si="30"/>
        <v>2.3809523809523808E-2</v>
      </c>
      <c r="AB96" t="s">
        <v>8</v>
      </c>
      <c r="AC96">
        <v>0.1</v>
      </c>
      <c r="AD96">
        <v>0.9</v>
      </c>
      <c r="AE96">
        <v>9.3100000000000002E-2</v>
      </c>
      <c r="AF96">
        <v>9.3100000000000002E-2</v>
      </c>
      <c r="AG96" s="1">
        <v>2.1000000000000001E-2</v>
      </c>
      <c r="AH96" s="1">
        <v>2.9999999999999997E-4</v>
      </c>
      <c r="AI96" s="1">
        <f t="shared" si="31"/>
        <v>1.4285714285714284E-2</v>
      </c>
      <c r="AK96" t="s">
        <v>8</v>
      </c>
      <c r="AL96">
        <v>0.1</v>
      </c>
      <c r="AM96">
        <v>0.9</v>
      </c>
      <c r="AN96">
        <v>9.3100000000000002E-2</v>
      </c>
      <c r="AO96">
        <v>9.2999999999999999E-2</v>
      </c>
      <c r="AP96" s="1">
        <v>2.1000000000000001E-2</v>
      </c>
      <c r="AQ96" s="1">
        <v>1.6000000000000001E-3</v>
      </c>
      <c r="AR96" s="1">
        <f t="shared" si="32"/>
        <v>7.6190476190476183E-2</v>
      </c>
      <c r="AT96" s="14">
        <f t="shared" si="27"/>
        <v>8.9944100895947071E-4</v>
      </c>
      <c r="AU96" s="9">
        <f t="shared" si="33"/>
        <v>8.5929108485510871E-4</v>
      </c>
    </row>
    <row r="97" spans="1:47" x14ac:dyDescent="0.35">
      <c r="A97" s="17" t="s">
        <v>8</v>
      </c>
      <c r="B97">
        <v>0.5</v>
      </c>
      <c r="C97">
        <v>0.9</v>
      </c>
      <c r="D97">
        <v>4.6300000000000001E-2</v>
      </c>
      <c r="E97">
        <v>4.5900000000000003E-2</v>
      </c>
      <c r="F97" s="1">
        <v>1.7000000000000001E-2</v>
      </c>
      <c r="G97" s="1">
        <v>8.3999999999999995E-3</v>
      </c>
      <c r="H97" s="1">
        <f t="shared" si="28"/>
        <v>0.49411764705882344</v>
      </c>
      <c r="J97" t="s">
        <v>8</v>
      </c>
      <c r="K97">
        <v>0.5</v>
      </c>
      <c r="L97">
        <v>0.9</v>
      </c>
      <c r="M97">
        <v>4.6300000000000001E-2</v>
      </c>
      <c r="N97">
        <v>4.5900000000000003E-2</v>
      </c>
      <c r="O97" s="1">
        <v>1.7000000000000001E-2</v>
      </c>
      <c r="P97" s="1">
        <v>8.3000000000000001E-3</v>
      </c>
      <c r="Q97" s="1">
        <f t="shared" si="29"/>
        <v>0.48823529411764705</v>
      </c>
      <c r="S97" t="s">
        <v>8</v>
      </c>
      <c r="T97">
        <v>0.5</v>
      </c>
      <c r="U97">
        <v>0.9</v>
      </c>
      <c r="V97">
        <v>4.6300000000000001E-2</v>
      </c>
      <c r="W97">
        <v>4.5999999999999999E-2</v>
      </c>
      <c r="X97" s="1">
        <v>1.7000000000000001E-2</v>
      </c>
      <c r="Y97" s="1">
        <v>7.4999999999999997E-3</v>
      </c>
      <c r="Z97" s="1">
        <f t="shared" si="30"/>
        <v>0.44117647058823523</v>
      </c>
      <c r="AB97" t="s">
        <v>8</v>
      </c>
      <c r="AC97">
        <v>0.5</v>
      </c>
      <c r="AD97">
        <v>0.9</v>
      </c>
      <c r="AE97">
        <v>4.6300000000000001E-2</v>
      </c>
      <c r="AF97">
        <v>4.5900000000000003E-2</v>
      </c>
      <c r="AG97" s="1">
        <v>1.7000000000000001E-2</v>
      </c>
      <c r="AH97" s="1">
        <v>7.7999999999999996E-3</v>
      </c>
      <c r="AI97" s="1">
        <f t="shared" si="31"/>
        <v>0.45882352941176463</v>
      </c>
      <c r="AK97" t="s">
        <v>8</v>
      </c>
      <c r="AL97">
        <v>0.5</v>
      </c>
      <c r="AM97">
        <v>0.9</v>
      </c>
      <c r="AN97">
        <v>4.6300000000000001E-2</v>
      </c>
      <c r="AO97">
        <v>4.5900000000000003E-2</v>
      </c>
      <c r="AP97" s="1">
        <v>1.7000000000000001E-2</v>
      </c>
      <c r="AQ97" s="1">
        <v>8.8000000000000005E-3</v>
      </c>
      <c r="AR97" s="1">
        <f t="shared" si="32"/>
        <v>0.51764705882352946</v>
      </c>
      <c r="AT97" s="14">
        <f t="shared" si="27"/>
        <v>9.7389720274377103E-4</v>
      </c>
      <c r="AU97" s="9">
        <f t="shared" si="33"/>
        <v>8.2073434125269629E-3</v>
      </c>
    </row>
    <row r="98" spans="1:47" x14ac:dyDescent="0.35">
      <c r="A98" s="17" t="s">
        <v>8</v>
      </c>
      <c r="B98">
        <v>1</v>
      </c>
      <c r="C98">
        <v>0.9</v>
      </c>
      <c r="D98">
        <v>1.6500000000000001E-2</v>
      </c>
      <c r="E98">
        <v>1.6299999999999999E-2</v>
      </c>
      <c r="F98" s="1">
        <v>1.4E-2</v>
      </c>
      <c r="G98" s="1">
        <v>1.34E-2</v>
      </c>
      <c r="H98" s="1">
        <f t="shared" si="28"/>
        <v>0.95714285714285718</v>
      </c>
      <c r="J98" t="s">
        <v>8</v>
      </c>
      <c r="K98">
        <v>1</v>
      </c>
      <c r="L98">
        <v>0.9</v>
      </c>
      <c r="M98">
        <v>1.6500000000000001E-2</v>
      </c>
      <c r="N98">
        <v>1.6299999999999999E-2</v>
      </c>
      <c r="O98" s="1">
        <v>1.4E-2</v>
      </c>
      <c r="P98" s="1">
        <v>1.17E-2</v>
      </c>
      <c r="Q98" s="1">
        <f t="shared" si="29"/>
        <v>0.83571428571428574</v>
      </c>
      <c r="S98" t="s">
        <v>8</v>
      </c>
      <c r="T98">
        <v>1</v>
      </c>
      <c r="U98">
        <v>0.9</v>
      </c>
      <c r="V98">
        <v>1.6500000000000001E-2</v>
      </c>
      <c r="W98">
        <v>1.6299999999999999E-2</v>
      </c>
      <c r="X98" s="1">
        <v>1.4E-2</v>
      </c>
      <c r="Y98" s="1">
        <v>1.34E-2</v>
      </c>
      <c r="Z98" s="1">
        <f t="shared" si="30"/>
        <v>0.95714285714285718</v>
      </c>
      <c r="AB98" t="s">
        <v>8</v>
      </c>
      <c r="AC98">
        <v>1</v>
      </c>
      <c r="AD98">
        <v>0.9</v>
      </c>
      <c r="AE98">
        <v>1.6500000000000001E-2</v>
      </c>
      <c r="AF98">
        <v>1.6299999999999999E-2</v>
      </c>
      <c r="AG98" s="1">
        <v>1.4E-2</v>
      </c>
      <c r="AH98" s="1">
        <v>1.11E-2</v>
      </c>
      <c r="AI98" s="1">
        <f t="shared" si="31"/>
        <v>0.79285714285714293</v>
      </c>
      <c r="AK98" t="s">
        <v>8</v>
      </c>
      <c r="AL98">
        <v>1</v>
      </c>
      <c r="AM98">
        <v>0.9</v>
      </c>
      <c r="AN98">
        <v>1.6500000000000001E-2</v>
      </c>
      <c r="AO98">
        <v>1.6299999999999999E-2</v>
      </c>
      <c r="AP98" s="1">
        <v>1.4E-2</v>
      </c>
      <c r="AQ98" s="1">
        <v>0.01</v>
      </c>
      <c r="AR98" s="1">
        <f t="shared" si="32"/>
        <v>0.7142857142857143</v>
      </c>
      <c r="AT98" s="14">
        <f t="shared" si="27"/>
        <v>0</v>
      </c>
      <c r="AU98" s="9">
        <f t="shared" si="33"/>
        <v>1.2121212121212258E-2</v>
      </c>
    </row>
    <row r="99" spans="1:47" x14ac:dyDescent="0.35">
      <c r="A99" s="17" t="s">
        <v>9</v>
      </c>
      <c r="B99">
        <v>0.1</v>
      </c>
      <c r="C99">
        <v>0.9</v>
      </c>
      <c r="D99">
        <v>6.9899999999999997E-3</v>
      </c>
      <c r="E99">
        <v>7.0499999999999998E-3</v>
      </c>
      <c r="F99" s="1">
        <v>6.3E-2</v>
      </c>
      <c r="G99" s="1">
        <v>-8.6E-3</v>
      </c>
      <c r="H99" s="1">
        <f t="shared" si="28"/>
        <v>0.13650793650793649</v>
      </c>
      <c r="J99" t="s">
        <v>9</v>
      </c>
      <c r="K99">
        <v>0.1</v>
      </c>
      <c r="L99">
        <v>0.9</v>
      </c>
      <c r="M99">
        <v>6.9899999999999997E-3</v>
      </c>
      <c r="N99">
        <v>7.0099999999999997E-3</v>
      </c>
      <c r="O99" s="1">
        <v>6.3E-2</v>
      </c>
      <c r="P99" s="1">
        <v>-3.3999999999999998E-3</v>
      </c>
      <c r="Q99" s="1">
        <f t="shared" si="29"/>
        <v>5.3968253968253964E-2</v>
      </c>
      <c r="S99" t="s">
        <v>9</v>
      </c>
      <c r="T99">
        <v>0.1</v>
      </c>
      <c r="U99">
        <v>0.9</v>
      </c>
      <c r="V99">
        <v>6.9899999999999997E-3</v>
      </c>
      <c r="W99">
        <v>6.9800000000000001E-3</v>
      </c>
      <c r="X99" s="1">
        <v>6.3E-2</v>
      </c>
      <c r="Y99" s="1">
        <v>1.9E-3</v>
      </c>
      <c r="Z99" s="1">
        <f t="shared" si="30"/>
        <v>3.0158730158730159E-2</v>
      </c>
      <c r="AB99" t="s">
        <v>9</v>
      </c>
      <c r="AC99">
        <v>0.1</v>
      </c>
      <c r="AD99">
        <v>0.9</v>
      </c>
      <c r="AE99">
        <v>6.9899999999999997E-3</v>
      </c>
      <c r="AF99">
        <v>7.0200000000000002E-3</v>
      </c>
      <c r="AG99" s="1">
        <v>6.3E-2</v>
      </c>
      <c r="AH99" s="1">
        <v>-4.0000000000000001E-3</v>
      </c>
      <c r="AI99" s="1">
        <f t="shared" si="31"/>
        <v>6.3492063492063489E-2</v>
      </c>
      <c r="AK99" t="s">
        <v>9</v>
      </c>
      <c r="AL99">
        <v>0.1</v>
      </c>
      <c r="AM99">
        <v>0.9</v>
      </c>
      <c r="AN99">
        <v>6.9899999999999997E-3</v>
      </c>
      <c r="AO99">
        <v>6.9800000000000001E-3</v>
      </c>
      <c r="AP99" s="1">
        <v>6.3E-2</v>
      </c>
      <c r="AQ99" s="1">
        <v>8.9999999999999998E-4</v>
      </c>
      <c r="AR99" s="1">
        <f t="shared" si="32"/>
        <v>1.4285714285714285E-2</v>
      </c>
      <c r="AT99" s="12">
        <f t="shared" si="27"/>
        <v>4.2088702065503957E-3</v>
      </c>
      <c r="AU99" s="7">
        <f t="shared" si="33"/>
        <v>-2.5751072961371847E-3</v>
      </c>
    </row>
    <row r="100" spans="1:47" x14ac:dyDescent="0.35">
      <c r="A100" s="17" t="s">
        <v>9</v>
      </c>
      <c r="B100">
        <v>0.5</v>
      </c>
      <c r="C100">
        <v>0.9</v>
      </c>
      <c r="D100">
        <v>3.29E-3</v>
      </c>
      <c r="E100">
        <v>3.1900000000000001E-3</v>
      </c>
      <c r="F100" s="1">
        <v>5.5E-2</v>
      </c>
      <c r="G100" s="1">
        <v>3.0499999999999999E-2</v>
      </c>
      <c r="H100" s="1">
        <f t="shared" si="28"/>
        <v>0.55454545454545456</v>
      </c>
      <c r="J100" t="s">
        <v>9</v>
      </c>
      <c r="K100">
        <v>0.5</v>
      </c>
      <c r="L100">
        <v>0.9</v>
      </c>
      <c r="M100">
        <v>3.29E-3</v>
      </c>
      <c r="N100">
        <v>3.14E-3</v>
      </c>
      <c r="O100" s="1">
        <v>5.5E-2</v>
      </c>
      <c r="P100" s="1">
        <v>4.6300000000000001E-2</v>
      </c>
      <c r="Q100" s="1">
        <f t="shared" si="29"/>
        <v>0.8418181818181818</v>
      </c>
      <c r="S100" t="s">
        <v>9</v>
      </c>
      <c r="T100">
        <v>0.5</v>
      </c>
      <c r="U100">
        <v>0.9</v>
      </c>
      <c r="V100">
        <v>3.29E-3</v>
      </c>
      <c r="W100">
        <v>3.1700000000000001E-3</v>
      </c>
      <c r="X100" s="1">
        <v>5.5E-2</v>
      </c>
      <c r="Y100" s="1">
        <v>3.7900000000000003E-2</v>
      </c>
      <c r="Z100" s="1">
        <f t="shared" si="30"/>
        <v>0.6890909090909092</v>
      </c>
      <c r="AB100" t="s">
        <v>9</v>
      </c>
      <c r="AC100">
        <v>0.5</v>
      </c>
      <c r="AD100">
        <v>0.9</v>
      </c>
      <c r="AE100">
        <v>3.29E-3</v>
      </c>
      <c r="AF100">
        <v>3.1900000000000001E-3</v>
      </c>
      <c r="AG100" s="1">
        <v>5.5E-2</v>
      </c>
      <c r="AH100" s="1">
        <v>2.92E-2</v>
      </c>
      <c r="AI100" s="1">
        <f t="shared" si="31"/>
        <v>0.53090909090909089</v>
      </c>
      <c r="AK100" t="s">
        <v>9</v>
      </c>
      <c r="AL100">
        <v>0.5</v>
      </c>
      <c r="AM100">
        <v>0.9</v>
      </c>
      <c r="AN100">
        <v>3.29E-3</v>
      </c>
      <c r="AO100">
        <v>3.2599999999999999E-3</v>
      </c>
      <c r="AP100" s="1">
        <v>5.5E-2</v>
      </c>
      <c r="AQ100" s="1">
        <v>8.0000000000000002E-3</v>
      </c>
      <c r="AR100" s="1">
        <f t="shared" si="32"/>
        <v>0.14545454545454545</v>
      </c>
      <c r="AT100" s="12">
        <f t="shared" si="27"/>
        <v>1.3842885370419807E-2</v>
      </c>
      <c r="AU100" s="7">
        <f t="shared" si="33"/>
        <v>3.0395136778115582E-2</v>
      </c>
    </row>
    <row r="101" spans="1:47" x14ac:dyDescent="0.35">
      <c r="A101" s="17" t="s">
        <v>9</v>
      </c>
      <c r="B101">
        <v>1</v>
      </c>
      <c r="C101">
        <v>0.9</v>
      </c>
      <c r="D101">
        <v>1.2099999999999999E-3</v>
      </c>
      <c r="E101">
        <v>1.1800000000000001E-3</v>
      </c>
      <c r="F101" s="1">
        <v>0.109</v>
      </c>
      <c r="G101" s="1">
        <v>2.46E-2</v>
      </c>
      <c r="H101" s="1">
        <f t="shared" si="28"/>
        <v>0.22568807339449543</v>
      </c>
      <c r="J101" t="s">
        <v>9</v>
      </c>
      <c r="K101">
        <v>1</v>
      </c>
      <c r="L101">
        <v>0.9</v>
      </c>
      <c r="M101">
        <v>1.2099999999999999E-3</v>
      </c>
      <c r="N101">
        <v>1.16E-3</v>
      </c>
      <c r="O101" s="1">
        <v>0.109</v>
      </c>
      <c r="P101" s="1">
        <v>3.73E-2</v>
      </c>
      <c r="Q101" s="1">
        <f t="shared" si="29"/>
        <v>0.34220183486238531</v>
      </c>
      <c r="S101" t="s">
        <v>9</v>
      </c>
      <c r="T101">
        <v>1</v>
      </c>
      <c r="U101">
        <v>0.9</v>
      </c>
      <c r="V101">
        <v>1.2099999999999999E-3</v>
      </c>
      <c r="W101">
        <v>1.16E-3</v>
      </c>
      <c r="X101" s="1">
        <v>0.109</v>
      </c>
      <c r="Y101" s="1">
        <v>4.1300000000000003E-2</v>
      </c>
      <c r="Z101" s="1">
        <f t="shared" si="30"/>
        <v>0.37889908256880739</v>
      </c>
      <c r="AB101" t="s">
        <v>9</v>
      </c>
      <c r="AC101">
        <v>1</v>
      </c>
      <c r="AD101">
        <v>0.9</v>
      </c>
      <c r="AE101">
        <v>1.2099999999999999E-3</v>
      </c>
      <c r="AF101">
        <v>1.17E-3</v>
      </c>
      <c r="AG101" s="1">
        <v>0.109</v>
      </c>
      <c r="AH101" s="1">
        <v>3.1899999999999998E-2</v>
      </c>
      <c r="AI101" s="1">
        <f t="shared" si="31"/>
        <v>0.29266055045871558</v>
      </c>
      <c r="AK101" t="s">
        <v>9</v>
      </c>
      <c r="AL101">
        <v>1</v>
      </c>
      <c r="AM101">
        <v>0.9</v>
      </c>
      <c r="AN101">
        <v>1.2099999999999999E-3</v>
      </c>
      <c r="AO101">
        <v>1.1800000000000001E-3</v>
      </c>
      <c r="AP101" s="1">
        <v>0.109</v>
      </c>
      <c r="AQ101" s="1">
        <v>2.58E-2</v>
      </c>
      <c r="AR101" s="1">
        <f t="shared" si="32"/>
        <v>0.23669724770642203</v>
      </c>
      <c r="AT101" s="12">
        <f>STDEV(AO101,AF101,W101,N101,E101)/ AVERAGE(AO101,AF101,W101,N101,E101)</f>
        <v>8.547008547008567E-3</v>
      </c>
      <c r="AU101" s="7">
        <f t="shared" si="33"/>
        <v>3.3057851239669152E-2</v>
      </c>
    </row>
    <row r="103" spans="1:47" x14ac:dyDescent="0.35">
      <c r="A103" s="6" t="s">
        <v>14</v>
      </c>
      <c r="B103" s="6"/>
      <c r="C103" s="6"/>
      <c r="D103" s="6"/>
      <c r="E103" s="6"/>
      <c r="F103" s="6"/>
      <c r="G103" s="6"/>
      <c r="H103" s="6"/>
      <c r="AN103" s="6" t="s">
        <v>14</v>
      </c>
      <c r="AO103" s="6"/>
      <c r="AP103" s="6"/>
      <c r="AQ103" s="6"/>
      <c r="AR103" s="6"/>
      <c r="AS103" s="6"/>
      <c r="AT103" s="6"/>
      <c r="AU103" s="6"/>
    </row>
    <row r="104" spans="1:47" x14ac:dyDescent="0.35">
      <c r="A104" s="17" t="s">
        <v>0</v>
      </c>
      <c r="B104" t="s">
        <v>1</v>
      </c>
      <c r="C104" t="s">
        <v>2</v>
      </c>
      <c r="D104" t="s">
        <v>3</v>
      </c>
      <c r="E104" t="s">
        <v>4</v>
      </c>
      <c r="F104" t="s">
        <v>5</v>
      </c>
      <c r="G104" t="s">
        <v>6</v>
      </c>
      <c r="J104" t="s">
        <v>0</v>
      </c>
      <c r="K104" t="s">
        <v>1</v>
      </c>
      <c r="L104" t="s">
        <v>2</v>
      </c>
      <c r="M104" t="s">
        <v>3</v>
      </c>
      <c r="N104" t="s">
        <v>4</v>
      </c>
      <c r="O104" t="s">
        <v>5</v>
      </c>
      <c r="P104" t="s">
        <v>6</v>
      </c>
      <c r="S104" t="s">
        <v>0</v>
      </c>
      <c r="T104" t="s">
        <v>1</v>
      </c>
      <c r="U104" t="s">
        <v>2</v>
      </c>
      <c r="V104" t="s">
        <v>3</v>
      </c>
      <c r="W104" t="s">
        <v>4</v>
      </c>
      <c r="X104" t="s">
        <v>5</v>
      </c>
      <c r="Y104" t="s">
        <v>6</v>
      </c>
      <c r="AB104" t="s">
        <v>0</v>
      </c>
      <c r="AC104" t="s">
        <v>1</v>
      </c>
      <c r="AD104" t="s">
        <v>2</v>
      </c>
      <c r="AE104" t="s">
        <v>3</v>
      </c>
      <c r="AF104" t="s">
        <v>4</v>
      </c>
      <c r="AG104" t="s">
        <v>5</v>
      </c>
      <c r="AH104" t="s">
        <v>6</v>
      </c>
      <c r="AK104" t="s">
        <v>0</v>
      </c>
      <c r="AL104" t="s">
        <v>1</v>
      </c>
      <c r="AM104" t="s">
        <v>2</v>
      </c>
      <c r="AN104" t="s">
        <v>3</v>
      </c>
      <c r="AO104" t="s">
        <v>4</v>
      </c>
      <c r="AP104" t="s">
        <v>5</v>
      </c>
      <c r="AQ104" t="s">
        <v>6</v>
      </c>
      <c r="AT104" s="15"/>
    </row>
    <row r="105" spans="1:47" x14ac:dyDescent="0.35">
      <c r="A105" s="17" t="s">
        <v>7</v>
      </c>
      <c r="B105">
        <v>0.8</v>
      </c>
      <c r="C105">
        <v>0.2</v>
      </c>
      <c r="D105">
        <v>0.16200000000000001</v>
      </c>
      <c r="E105">
        <v>0.16200000000000001</v>
      </c>
      <c r="F105" s="1">
        <v>0</v>
      </c>
      <c r="G105" s="1">
        <v>-4.0000000000000002E-4</v>
      </c>
      <c r="H105" s="1" t="e">
        <f>ABS(G105/F105)</f>
        <v>#DIV/0!</v>
      </c>
      <c r="J105" t="s">
        <v>7</v>
      </c>
      <c r="K105">
        <v>0.8</v>
      </c>
      <c r="L105">
        <v>0.2</v>
      </c>
      <c r="M105">
        <v>0.16200000000000001</v>
      </c>
      <c r="N105">
        <v>0.16200000000000001</v>
      </c>
      <c r="O105" s="1">
        <v>0</v>
      </c>
      <c r="P105" s="1">
        <v>-6.9999999999999999E-4</v>
      </c>
      <c r="Q105" s="1" t="e">
        <f>ABS(P105/O105)</f>
        <v>#DIV/0!</v>
      </c>
      <c r="S105" t="s">
        <v>7</v>
      </c>
      <c r="T105">
        <v>0.8</v>
      </c>
      <c r="U105">
        <v>0.2</v>
      </c>
      <c r="V105">
        <v>0.16200000000000001</v>
      </c>
      <c r="W105">
        <v>0.16200000000000001</v>
      </c>
      <c r="X105" s="1">
        <v>0</v>
      </c>
      <c r="Y105" s="1">
        <v>-6.9999999999999999E-4</v>
      </c>
      <c r="Z105" s="1" t="e">
        <f>ABS(Y105/X105)</f>
        <v>#DIV/0!</v>
      </c>
      <c r="AB105" t="s">
        <v>7</v>
      </c>
      <c r="AC105">
        <v>0.8</v>
      </c>
      <c r="AD105">
        <v>0.2</v>
      </c>
      <c r="AE105">
        <v>0.16200000000000001</v>
      </c>
      <c r="AF105">
        <v>0.16200000000000001</v>
      </c>
      <c r="AG105" s="1">
        <v>0</v>
      </c>
      <c r="AH105" s="1">
        <v>-5.9999999999999995E-4</v>
      </c>
      <c r="AI105" s="1" t="e">
        <f>ABS(AH105/AG105)</f>
        <v>#DIV/0!</v>
      </c>
      <c r="AK105" t="s">
        <v>7</v>
      </c>
      <c r="AL105">
        <v>0.8</v>
      </c>
      <c r="AM105">
        <v>0.2</v>
      </c>
      <c r="AN105">
        <v>0.16200000000000001</v>
      </c>
      <c r="AO105">
        <v>0.16200000000000001</v>
      </c>
      <c r="AP105" s="1">
        <v>0</v>
      </c>
      <c r="AQ105" s="1">
        <v>-5.0000000000000001E-4</v>
      </c>
      <c r="AR105" s="1" t="e">
        <f>ABS(AQ105/AP105)</f>
        <v>#DIV/0!</v>
      </c>
      <c r="AT105" s="13">
        <f t="shared" ref="AT105:AT121" si="34">STDEV(AO105,AF105,W105,N105,E105)/ AVERAGE(AO105,AF105,W105,N105,E105)</f>
        <v>0</v>
      </c>
      <c r="AU105" s="8">
        <f>( D105 - AVERAGE(AO105,AF105,W105,N105,E105))/ D105</f>
        <v>0</v>
      </c>
    </row>
    <row r="106" spans="1:47" x14ac:dyDescent="0.35">
      <c r="A106" s="17" t="s">
        <v>7</v>
      </c>
      <c r="B106">
        <v>4</v>
      </c>
      <c r="C106">
        <v>0.2</v>
      </c>
      <c r="D106">
        <v>2.2699999999999999E-3</v>
      </c>
      <c r="E106">
        <v>2.2799999999999999E-3</v>
      </c>
      <c r="F106" s="1">
        <v>2E-3</v>
      </c>
      <c r="G106" s="1">
        <v>-4.3E-3</v>
      </c>
      <c r="H106" s="1">
        <f t="shared" ref="H106:H122" si="35">ABS(G106/F106)</f>
        <v>2.15</v>
      </c>
      <c r="J106" t="s">
        <v>7</v>
      </c>
      <c r="K106">
        <v>4</v>
      </c>
      <c r="L106">
        <v>0.2</v>
      </c>
      <c r="M106">
        <v>2.2699999999999999E-3</v>
      </c>
      <c r="N106">
        <v>2.2799999999999999E-3</v>
      </c>
      <c r="O106" s="1">
        <v>2E-3</v>
      </c>
      <c r="P106" s="1">
        <v>-5.3E-3</v>
      </c>
      <c r="Q106" s="1">
        <f t="shared" ref="Q106:Q122" si="36">ABS(P106/O106)</f>
        <v>2.65</v>
      </c>
      <c r="S106" t="s">
        <v>7</v>
      </c>
      <c r="T106">
        <v>4</v>
      </c>
      <c r="U106">
        <v>0.2</v>
      </c>
      <c r="V106">
        <v>2.2699999999999999E-3</v>
      </c>
      <c r="W106">
        <v>2.2799999999999999E-3</v>
      </c>
      <c r="X106" s="1">
        <v>2E-3</v>
      </c>
      <c r="Y106" s="1">
        <v>-5.4999999999999997E-3</v>
      </c>
      <c r="Z106" s="1">
        <f t="shared" ref="Z106:Z122" si="37">ABS(Y106/X106)</f>
        <v>2.75</v>
      </c>
      <c r="AB106" t="s">
        <v>7</v>
      </c>
      <c r="AC106">
        <v>4</v>
      </c>
      <c r="AD106">
        <v>0.2</v>
      </c>
      <c r="AE106">
        <v>2.2699999999999999E-3</v>
      </c>
      <c r="AF106">
        <v>2.2799999999999999E-3</v>
      </c>
      <c r="AG106" s="1">
        <v>2E-3</v>
      </c>
      <c r="AH106" s="1">
        <v>-3.2000000000000002E-3</v>
      </c>
      <c r="AI106" s="1">
        <f t="shared" ref="AI106:AI122" si="38">ABS(AH106/AG106)</f>
        <v>1.6</v>
      </c>
      <c r="AK106" t="s">
        <v>7</v>
      </c>
      <c r="AL106">
        <v>4</v>
      </c>
      <c r="AM106">
        <v>0.2</v>
      </c>
      <c r="AN106">
        <v>2.2699999999999999E-3</v>
      </c>
      <c r="AO106">
        <v>2.2899999999999999E-3</v>
      </c>
      <c r="AP106" s="1">
        <v>2E-3</v>
      </c>
      <c r="AQ106" s="1">
        <v>-8.3000000000000001E-3</v>
      </c>
      <c r="AR106" s="1">
        <f t="shared" ref="AR106:AR122" si="39">ABS(AQ106/AP106)</f>
        <v>4.1500000000000004</v>
      </c>
      <c r="AT106" s="13">
        <f t="shared" si="34"/>
        <v>1.9597440644169985E-3</v>
      </c>
      <c r="AU106" s="8">
        <f t="shared" ref="AU106:AU122" si="40">( D106 - AVERAGE(AO106,AF106,W106,N106,E106))/ D106</f>
        <v>-5.2863436123349308E-3</v>
      </c>
    </row>
    <row r="107" spans="1:47" x14ac:dyDescent="0.35">
      <c r="A107" s="17" t="s">
        <v>7</v>
      </c>
      <c r="B107">
        <v>8</v>
      </c>
      <c r="C107">
        <v>0.2</v>
      </c>
      <c r="D107">
        <v>1.2999999999999999E-5</v>
      </c>
      <c r="E107">
        <v>1.26E-5</v>
      </c>
      <c r="F107" s="1">
        <v>4.7E-2</v>
      </c>
      <c r="G107" s="1">
        <v>3.3099999999999997E-2</v>
      </c>
      <c r="H107" s="1">
        <f t="shared" si="35"/>
        <v>0.70425531914893613</v>
      </c>
      <c r="J107" t="s">
        <v>7</v>
      </c>
      <c r="K107">
        <v>8</v>
      </c>
      <c r="L107">
        <v>0.2</v>
      </c>
      <c r="M107">
        <v>1.2999999999999999E-5</v>
      </c>
      <c r="N107">
        <v>1.33E-5</v>
      </c>
      <c r="O107" s="1">
        <v>4.7E-2</v>
      </c>
      <c r="P107" s="1">
        <v>-2.3099999999999999E-2</v>
      </c>
      <c r="Q107" s="1">
        <f t="shared" si="36"/>
        <v>0.49148936170212765</v>
      </c>
      <c r="S107" t="s">
        <v>7</v>
      </c>
      <c r="T107">
        <v>8</v>
      </c>
      <c r="U107">
        <v>0.2</v>
      </c>
      <c r="V107">
        <v>1.2999999999999999E-5</v>
      </c>
      <c r="W107">
        <v>1.38E-5</v>
      </c>
      <c r="X107" s="1">
        <v>4.7E-2</v>
      </c>
      <c r="Y107" s="1">
        <v>-6.1499999999999999E-2</v>
      </c>
      <c r="Z107" s="1">
        <f t="shared" si="37"/>
        <v>1.3085106382978724</v>
      </c>
      <c r="AB107" t="s">
        <v>7</v>
      </c>
      <c r="AC107">
        <v>8</v>
      </c>
      <c r="AD107">
        <v>0.2</v>
      </c>
      <c r="AE107">
        <v>1.2999999999999999E-5</v>
      </c>
      <c r="AF107">
        <v>1.33E-5</v>
      </c>
      <c r="AG107" s="1">
        <v>4.7E-2</v>
      </c>
      <c r="AH107" s="1">
        <v>-0.02</v>
      </c>
      <c r="AI107" s="1">
        <f t="shared" si="38"/>
        <v>0.42553191489361702</v>
      </c>
      <c r="AK107" t="s">
        <v>7</v>
      </c>
      <c r="AL107">
        <v>8</v>
      </c>
      <c r="AM107">
        <v>0.2</v>
      </c>
      <c r="AN107">
        <v>1.2999999999999999E-5</v>
      </c>
      <c r="AO107">
        <v>1.38E-5</v>
      </c>
      <c r="AP107" s="1">
        <v>4.7E-2</v>
      </c>
      <c r="AQ107" s="1">
        <v>-5.9200000000000003E-2</v>
      </c>
      <c r="AR107" s="1">
        <f t="shared" si="39"/>
        <v>1.2595744680851064</v>
      </c>
      <c r="AT107" s="13">
        <f t="shared" si="34"/>
        <v>3.6897477676246238E-2</v>
      </c>
      <c r="AU107" s="8">
        <f t="shared" si="40"/>
        <v>-2.769230769230769E-2</v>
      </c>
    </row>
    <row r="108" spans="1:47" x14ac:dyDescent="0.35">
      <c r="A108" s="17" t="s">
        <v>8</v>
      </c>
      <c r="B108">
        <v>0.8</v>
      </c>
      <c r="C108">
        <v>0.2</v>
      </c>
      <c r="D108">
        <v>9.6599999999999995E-4</v>
      </c>
      <c r="E108">
        <v>9.68E-4</v>
      </c>
      <c r="F108" s="1">
        <v>2.3E-2</v>
      </c>
      <c r="G108" s="1">
        <v>-1.8E-3</v>
      </c>
      <c r="H108" s="1">
        <f t="shared" si="35"/>
        <v>7.8260869565217384E-2</v>
      </c>
      <c r="J108" t="s">
        <v>8</v>
      </c>
      <c r="K108">
        <v>0.8</v>
      </c>
      <c r="L108">
        <v>0.2</v>
      </c>
      <c r="M108">
        <v>9.6599999999999995E-4</v>
      </c>
      <c r="N108">
        <v>9.7300000000000002E-4</v>
      </c>
      <c r="O108" s="1">
        <v>2.3E-2</v>
      </c>
      <c r="P108" s="1">
        <v>-7.4999999999999997E-3</v>
      </c>
      <c r="Q108" s="1">
        <f t="shared" si="36"/>
        <v>0.32608695652173914</v>
      </c>
      <c r="S108" t="s">
        <v>8</v>
      </c>
      <c r="T108">
        <v>0.8</v>
      </c>
      <c r="U108">
        <v>0.2</v>
      </c>
      <c r="V108">
        <v>9.6599999999999995E-4</v>
      </c>
      <c r="W108">
        <v>9.5100000000000002E-4</v>
      </c>
      <c r="X108" s="1">
        <v>2.3E-2</v>
      </c>
      <c r="Y108" s="1">
        <v>1.5100000000000001E-2</v>
      </c>
      <c r="Z108" s="1">
        <f t="shared" si="37"/>
        <v>0.65652173913043477</v>
      </c>
      <c r="AB108" t="s">
        <v>8</v>
      </c>
      <c r="AC108">
        <v>0.8</v>
      </c>
      <c r="AD108">
        <v>0.2</v>
      </c>
      <c r="AE108">
        <v>9.6599999999999995E-4</v>
      </c>
      <c r="AF108">
        <v>9.5600000000000004E-4</v>
      </c>
      <c r="AG108" s="1">
        <v>2.3E-2</v>
      </c>
      <c r="AH108" s="1">
        <v>0.01</v>
      </c>
      <c r="AI108" s="1">
        <f t="shared" si="38"/>
        <v>0.43478260869565222</v>
      </c>
      <c r="AK108" t="s">
        <v>8</v>
      </c>
      <c r="AL108">
        <v>0.8</v>
      </c>
      <c r="AM108">
        <v>0.2</v>
      </c>
      <c r="AN108">
        <v>9.6599999999999995E-4</v>
      </c>
      <c r="AO108">
        <v>9.5399999999999999E-4</v>
      </c>
      <c r="AP108" s="1">
        <v>2.3E-2</v>
      </c>
      <c r="AQ108" s="1">
        <v>1.29E-2</v>
      </c>
      <c r="AR108" s="1">
        <f t="shared" si="39"/>
        <v>0.56086956521739129</v>
      </c>
      <c r="AT108" s="14">
        <f t="shared" si="34"/>
        <v>9.9490872016586851E-3</v>
      </c>
      <c r="AU108" s="9">
        <f t="shared" si="40"/>
        <v>5.797101449275391E-3</v>
      </c>
    </row>
    <row r="109" spans="1:47" x14ac:dyDescent="0.35">
      <c r="A109" s="17" t="s">
        <v>8</v>
      </c>
      <c r="B109">
        <v>4</v>
      </c>
      <c r="C109">
        <v>0.2</v>
      </c>
      <c r="D109">
        <v>1.3699999999999999E-5</v>
      </c>
      <c r="E109">
        <v>1.22E-5</v>
      </c>
      <c r="F109" s="1">
        <v>6.3E-2</v>
      </c>
      <c r="G109" s="1">
        <v>0.11169999999999999</v>
      </c>
      <c r="H109" s="1">
        <f t="shared" si="35"/>
        <v>1.7730158730158729</v>
      </c>
      <c r="J109" t="s">
        <v>8</v>
      </c>
      <c r="K109">
        <v>4</v>
      </c>
      <c r="L109">
        <v>0.2</v>
      </c>
      <c r="M109">
        <v>1.3699999999999999E-5</v>
      </c>
      <c r="N109">
        <v>1.26E-5</v>
      </c>
      <c r="O109" s="1">
        <v>6.3E-2</v>
      </c>
      <c r="P109" s="1">
        <v>7.9600000000000004E-2</v>
      </c>
      <c r="Q109" s="1">
        <f t="shared" si="36"/>
        <v>1.2634920634920634</v>
      </c>
      <c r="S109" t="s">
        <v>8</v>
      </c>
      <c r="T109">
        <v>4</v>
      </c>
      <c r="U109">
        <v>0.2</v>
      </c>
      <c r="V109">
        <v>1.3699999999999999E-5</v>
      </c>
      <c r="W109">
        <v>1.4600000000000001E-5</v>
      </c>
      <c r="X109" s="1">
        <v>6.3E-2</v>
      </c>
      <c r="Y109" s="1">
        <v>-6.6400000000000001E-2</v>
      </c>
      <c r="Z109" s="1">
        <f t="shared" si="37"/>
        <v>1.053968253968254</v>
      </c>
      <c r="AB109" t="s">
        <v>8</v>
      </c>
      <c r="AC109">
        <v>4</v>
      </c>
      <c r="AD109">
        <v>0.2</v>
      </c>
      <c r="AE109">
        <v>1.3699999999999999E-5</v>
      </c>
      <c r="AF109">
        <v>1.2300000000000001E-5</v>
      </c>
      <c r="AG109" s="1">
        <v>6.3E-2</v>
      </c>
      <c r="AH109" s="1">
        <v>0.1</v>
      </c>
      <c r="AI109" s="1">
        <f t="shared" si="38"/>
        <v>1.5873015873015874</v>
      </c>
      <c r="AK109" t="s">
        <v>8</v>
      </c>
      <c r="AL109">
        <v>4</v>
      </c>
      <c r="AM109">
        <v>0.2</v>
      </c>
      <c r="AN109">
        <v>1.3699999999999999E-5</v>
      </c>
      <c r="AO109">
        <v>1.2799999999999999E-5</v>
      </c>
      <c r="AP109" s="1">
        <v>6.3E-2</v>
      </c>
      <c r="AQ109" s="1">
        <v>6.5699999999999995E-2</v>
      </c>
      <c r="AR109" s="1">
        <f t="shared" si="39"/>
        <v>1.0428571428571427</v>
      </c>
      <c r="AT109" s="14">
        <f t="shared" si="34"/>
        <v>7.5953170318858246E-2</v>
      </c>
      <c r="AU109" s="9">
        <f t="shared" si="40"/>
        <v>5.8394160583941424E-2</v>
      </c>
    </row>
    <row r="110" spans="1:47" x14ac:dyDescent="0.35">
      <c r="A110" s="17" t="s">
        <v>8</v>
      </c>
      <c r="B110">
        <v>8</v>
      </c>
      <c r="C110">
        <v>0.2</v>
      </c>
      <c r="D110">
        <v>7.2800000000000003E-8</v>
      </c>
      <c r="E110">
        <v>1E-8</v>
      </c>
      <c r="F110" s="1">
        <v>0.187</v>
      </c>
      <c r="G110" s="1">
        <v>0.86260000000000003</v>
      </c>
      <c r="H110" s="1">
        <f t="shared" si="35"/>
        <v>4.6128342245989309</v>
      </c>
      <c r="J110" t="s">
        <v>8</v>
      </c>
      <c r="K110">
        <v>8</v>
      </c>
      <c r="L110">
        <v>0.2</v>
      </c>
      <c r="M110">
        <v>7.2800000000000003E-8</v>
      </c>
      <c r="N110">
        <v>0</v>
      </c>
      <c r="O110" s="1">
        <v>0.187</v>
      </c>
      <c r="P110" s="1">
        <v>1</v>
      </c>
      <c r="Q110" s="1">
        <f t="shared" si="36"/>
        <v>5.3475935828877006</v>
      </c>
      <c r="S110" t="s">
        <v>8</v>
      </c>
      <c r="T110">
        <v>8</v>
      </c>
      <c r="U110">
        <v>0.2</v>
      </c>
      <c r="V110">
        <v>7.2800000000000003E-8</v>
      </c>
      <c r="W110">
        <v>5.9999999999999995E-8</v>
      </c>
      <c r="X110" s="1">
        <v>0.187</v>
      </c>
      <c r="Y110" s="1">
        <v>0.17580000000000001</v>
      </c>
      <c r="Z110" s="1">
        <f t="shared" si="37"/>
        <v>0.94010695187165783</v>
      </c>
      <c r="AB110" t="s">
        <v>8</v>
      </c>
      <c r="AC110">
        <v>8</v>
      </c>
      <c r="AD110">
        <v>0.2</v>
      </c>
      <c r="AE110">
        <v>7.2800000000000003E-8</v>
      </c>
      <c r="AF110">
        <v>1E-8</v>
      </c>
      <c r="AG110" s="1">
        <v>0.187</v>
      </c>
      <c r="AH110" s="1">
        <v>0.86260000000000003</v>
      </c>
      <c r="AI110" s="1">
        <f t="shared" si="38"/>
        <v>4.6128342245989309</v>
      </c>
      <c r="AK110" t="s">
        <v>8</v>
      </c>
      <c r="AL110">
        <v>8</v>
      </c>
      <c r="AM110">
        <v>0.2</v>
      </c>
      <c r="AN110">
        <v>7.2800000000000003E-8</v>
      </c>
      <c r="AO110">
        <v>2E-8</v>
      </c>
      <c r="AP110" s="1">
        <v>0.187</v>
      </c>
      <c r="AQ110" s="1">
        <v>0.72529999999999994</v>
      </c>
      <c r="AR110" s="1">
        <f t="shared" si="39"/>
        <v>3.878609625668449</v>
      </c>
      <c r="AT110" s="14">
        <f t="shared" si="34"/>
        <v>1.1726039399558572</v>
      </c>
      <c r="AU110" s="9">
        <f t="shared" si="40"/>
        <v>0.72527472527472525</v>
      </c>
    </row>
    <row r="111" spans="1:47" x14ac:dyDescent="0.35">
      <c r="A111" s="17" t="s">
        <v>9</v>
      </c>
      <c r="B111">
        <v>0.8</v>
      </c>
      <c r="C111">
        <v>0.2</v>
      </c>
      <c r="D111">
        <v>5.4700000000000001E-5</v>
      </c>
      <c r="E111">
        <v>5.2299999999999997E-5</v>
      </c>
      <c r="F111" s="1">
        <v>0.06</v>
      </c>
      <c r="G111" s="1">
        <v>4.4200000000000003E-2</v>
      </c>
      <c r="H111" s="1">
        <f t="shared" si="35"/>
        <v>0.73666666666666669</v>
      </c>
      <c r="J111" t="s">
        <v>9</v>
      </c>
      <c r="K111">
        <v>0.8</v>
      </c>
      <c r="L111">
        <v>0.2</v>
      </c>
      <c r="M111">
        <v>5.4700000000000001E-5</v>
      </c>
      <c r="N111">
        <v>5.8E-5</v>
      </c>
      <c r="O111" s="1">
        <v>0.06</v>
      </c>
      <c r="P111" s="1">
        <v>-6.1100000000000002E-2</v>
      </c>
      <c r="Q111" s="1">
        <f t="shared" si="36"/>
        <v>1.0183333333333333</v>
      </c>
      <c r="S111" t="s">
        <v>9</v>
      </c>
      <c r="T111">
        <v>0.8</v>
      </c>
      <c r="U111">
        <v>0.2</v>
      </c>
      <c r="V111">
        <v>5.4700000000000001E-5</v>
      </c>
      <c r="W111">
        <v>5.38E-5</v>
      </c>
      <c r="X111" s="1">
        <v>0.06</v>
      </c>
      <c r="Y111" s="1">
        <v>1.72E-2</v>
      </c>
      <c r="Z111" s="1">
        <f t="shared" si="37"/>
        <v>0.28666666666666668</v>
      </c>
      <c r="AB111" t="s">
        <v>9</v>
      </c>
      <c r="AC111">
        <v>0.8</v>
      </c>
      <c r="AD111">
        <v>0.2</v>
      </c>
      <c r="AE111">
        <v>5.4700000000000001E-5</v>
      </c>
      <c r="AF111">
        <v>5.6900000000000001E-5</v>
      </c>
      <c r="AG111" s="1">
        <v>0.06</v>
      </c>
      <c r="AH111" s="1">
        <v>-4.0800000000000003E-2</v>
      </c>
      <c r="AI111" s="1">
        <f t="shared" si="38"/>
        <v>0.68</v>
      </c>
      <c r="AK111" t="s">
        <v>9</v>
      </c>
      <c r="AL111">
        <v>0.8</v>
      </c>
      <c r="AM111">
        <v>0.2</v>
      </c>
      <c r="AN111">
        <v>5.4700000000000001E-5</v>
      </c>
      <c r="AO111">
        <v>5.1700000000000003E-5</v>
      </c>
      <c r="AP111" s="1">
        <v>0.06</v>
      </c>
      <c r="AQ111" s="1">
        <v>5.45E-2</v>
      </c>
      <c r="AR111" s="1">
        <f t="shared" si="39"/>
        <v>0.90833333333333333</v>
      </c>
      <c r="AT111" s="12">
        <f t="shared" si="34"/>
        <v>5.1184351419711879E-2</v>
      </c>
      <c r="AU111" s="7">
        <f t="shared" si="40"/>
        <v>2.9250457038390945E-3</v>
      </c>
    </row>
    <row r="112" spans="1:47" x14ac:dyDescent="0.35">
      <c r="A112" s="17" t="s">
        <v>9</v>
      </c>
      <c r="B112">
        <v>4</v>
      </c>
      <c r="C112">
        <v>0.2</v>
      </c>
      <c r="D112">
        <v>6.2399999999999998E-7</v>
      </c>
      <c r="E112">
        <v>5.6000000000000004E-7</v>
      </c>
      <c r="F112" s="1">
        <v>0.35499999999999998</v>
      </c>
      <c r="G112" s="1">
        <v>0.1026</v>
      </c>
      <c r="H112" s="1">
        <f t="shared" si="35"/>
        <v>0.28901408450704225</v>
      </c>
      <c r="J112" t="s">
        <v>9</v>
      </c>
      <c r="K112">
        <v>4</v>
      </c>
      <c r="L112">
        <v>0.2</v>
      </c>
      <c r="M112">
        <v>6.2399999999999998E-7</v>
      </c>
      <c r="N112">
        <v>5.6000000000000004E-7</v>
      </c>
      <c r="O112" s="1">
        <v>0.35499999999999998</v>
      </c>
      <c r="P112" s="1">
        <v>0.1026</v>
      </c>
      <c r="Q112" s="1">
        <f t="shared" si="36"/>
        <v>0.28901408450704225</v>
      </c>
      <c r="S112" t="s">
        <v>9</v>
      </c>
      <c r="T112">
        <v>4</v>
      </c>
      <c r="U112">
        <v>0.2</v>
      </c>
      <c r="V112">
        <v>6.2399999999999998E-7</v>
      </c>
      <c r="W112">
        <v>9.2999999999999999E-7</v>
      </c>
      <c r="X112" s="1">
        <v>0.35499999999999998</v>
      </c>
      <c r="Y112" s="1">
        <v>-0.4904</v>
      </c>
      <c r="Z112" s="1">
        <f t="shared" si="37"/>
        <v>1.3814084507042255</v>
      </c>
      <c r="AB112" t="s">
        <v>9</v>
      </c>
      <c r="AC112">
        <v>4</v>
      </c>
      <c r="AD112">
        <v>0.2</v>
      </c>
      <c r="AE112">
        <v>6.2399999999999998E-7</v>
      </c>
      <c r="AF112">
        <v>3.7E-7</v>
      </c>
      <c r="AG112" s="1">
        <v>0.35499999999999998</v>
      </c>
      <c r="AH112" s="1">
        <v>0.40710000000000002</v>
      </c>
      <c r="AI112" s="1">
        <f t="shared" si="38"/>
        <v>1.1467605633802818</v>
      </c>
      <c r="AK112" t="s">
        <v>9</v>
      </c>
      <c r="AL112">
        <v>4</v>
      </c>
      <c r="AM112">
        <v>0.2</v>
      </c>
      <c r="AN112">
        <v>6.2399999999999998E-7</v>
      </c>
      <c r="AO112">
        <v>3.7E-7</v>
      </c>
      <c r="AP112" s="1">
        <v>0.35499999999999998</v>
      </c>
      <c r="AQ112" s="1">
        <v>0.40710000000000002</v>
      </c>
      <c r="AR112" s="1">
        <f t="shared" si="39"/>
        <v>1.1467605633802818</v>
      </c>
      <c r="AT112" s="12">
        <f t="shared" si="34"/>
        <v>0.40972461055838305</v>
      </c>
      <c r="AU112" s="7">
        <f t="shared" si="40"/>
        <v>0.10576923076923057</v>
      </c>
    </row>
    <row r="113" spans="1:47" x14ac:dyDescent="0.35">
      <c r="A113" s="17" t="s">
        <v>9</v>
      </c>
      <c r="B113">
        <v>8</v>
      </c>
      <c r="C113">
        <v>0.2</v>
      </c>
      <c r="D113">
        <v>4.0199999999999998E-9</v>
      </c>
      <c r="E113">
        <v>0</v>
      </c>
      <c r="F113" s="1">
        <v>0.248</v>
      </c>
      <c r="G113" s="1">
        <v>1</v>
      </c>
      <c r="H113" s="1">
        <f t="shared" si="35"/>
        <v>4.032258064516129</v>
      </c>
      <c r="J113" t="s">
        <v>9</v>
      </c>
      <c r="K113">
        <v>8</v>
      </c>
      <c r="L113">
        <v>0.2</v>
      </c>
      <c r="M113">
        <v>4.0199999999999998E-9</v>
      </c>
      <c r="N113">
        <v>0</v>
      </c>
      <c r="O113" s="1">
        <v>0.248</v>
      </c>
      <c r="P113" s="1">
        <v>1</v>
      </c>
      <c r="Q113" s="1">
        <f t="shared" si="36"/>
        <v>4.032258064516129</v>
      </c>
      <c r="S113" t="s">
        <v>9</v>
      </c>
      <c r="T113">
        <v>8</v>
      </c>
      <c r="U113">
        <v>0.2</v>
      </c>
      <c r="V113">
        <v>4.0199999999999998E-9</v>
      </c>
      <c r="W113">
        <v>0</v>
      </c>
      <c r="X113" s="1">
        <v>0.248</v>
      </c>
      <c r="Y113" s="1">
        <v>1</v>
      </c>
      <c r="Z113" s="1">
        <f t="shared" si="37"/>
        <v>4.032258064516129</v>
      </c>
      <c r="AB113" t="s">
        <v>9</v>
      </c>
      <c r="AC113">
        <v>8</v>
      </c>
      <c r="AD113">
        <v>0.2</v>
      </c>
      <c r="AE113">
        <v>4.0199999999999998E-9</v>
      </c>
      <c r="AF113">
        <v>0</v>
      </c>
      <c r="AG113" s="1">
        <v>0.248</v>
      </c>
      <c r="AH113" s="1">
        <v>1</v>
      </c>
      <c r="AI113" s="1">
        <f t="shared" si="38"/>
        <v>4.032258064516129</v>
      </c>
      <c r="AK113" t="s">
        <v>9</v>
      </c>
      <c r="AL113">
        <v>8</v>
      </c>
      <c r="AM113">
        <v>0.2</v>
      </c>
      <c r="AN113">
        <v>4.0199999999999998E-9</v>
      </c>
      <c r="AO113">
        <v>0</v>
      </c>
      <c r="AP113" s="1">
        <v>0.248</v>
      </c>
      <c r="AQ113" s="1">
        <v>1</v>
      </c>
      <c r="AR113" s="1">
        <f t="shared" si="39"/>
        <v>4.032258064516129</v>
      </c>
      <c r="AT113" s="12" t="e">
        <f t="shared" si="34"/>
        <v>#DIV/0!</v>
      </c>
      <c r="AU113" s="7">
        <f t="shared" si="40"/>
        <v>1</v>
      </c>
    </row>
    <row r="114" spans="1:47" x14ac:dyDescent="0.35">
      <c r="A114" s="17" t="s">
        <v>7</v>
      </c>
      <c r="B114">
        <v>0.1</v>
      </c>
      <c r="C114">
        <v>0.9</v>
      </c>
      <c r="D114">
        <v>0.41299999999999998</v>
      </c>
      <c r="E114">
        <v>0.41299999999999998</v>
      </c>
      <c r="F114" s="1">
        <v>1E-3</v>
      </c>
      <c r="G114" s="1">
        <v>-1.1000000000000001E-3</v>
      </c>
      <c r="H114" s="1">
        <f t="shared" si="35"/>
        <v>1.1000000000000001</v>
      </c>
      <c r="J114" t="s">
        <v>7</v>
      </c>
      <c r="K114">
        <v>0.1</v>
      </c>
      <c r="L114">
        <v>0.9</v>
      </c>
      <c r="M114">
        <v>0.41299999999999998</v>
      </c>
      <c r="N114">
        <v>0.41299999999999998</v>
      </c>
      <c r="O114" s="1">
        <v>1E-3</v>
      </c>
      <c r="P114" s="1">
        <v>-1.1999999999999999E-3</v>
      </c>
      <c r="Q114" s="1">
        <f t="shared" si="36"/>
        <v>1.2</v>
      </c>
      <c r="S114" t="s">
        <v>7</v>
      </c>
      <c r="T114">
        <v>0.1</v>
      </c>
      <c r="U114">
        <v>0.9</v>
      </c>
      <c r="V114">
        <v>0.41299999999999998</v>
      </c>
      <c r="W114">
        <v>0.41299999999999998</v>
      </c>
      <c r="X114" s="1">
        <v>1E-3</v>
      </c>
      <c r="Y114" s="1">
        <v>-1.1000000000000001E-3</v>
      </c>
      <c r="Z114" s="1">
        <f t="shared" si="37"/>
        <v>1.1000000000000001</v>
      </c>
      <c r="AB114" t="s">
        <v>7</v>
      </c>
      <c r="AC114">
        <v>0.1</v>
      </c>
      <c r="AD114">
        <v>0.9</v>
      </c>
      <c r="AE114">
        <v>0.41299999999999998</v>
      </c>
      <c r="AF114">
        <v>0.41299999999999998</v>
      </c>
      <c r="AG114" s="1">
        <v>1E-3</v>
      </c>
      <c r="AH114" s="1">
        <v>-1.1999999999999999E-3</v>
      </c>
      <c r="AI114" s="1">
        <f t="shared" si="38"/>
        <v>1.2</v>
      </c>
      <c r="AK114" t="s">
        <v>7</v>
      </c>
      <c r="AL114">
        <v>0.1</v>
      </c>
      <c r="AM114">
        <v>0.9</v>
      </c>
      <c r="AN114">
        <v>0.41299999999999998</v>
      </c>
      <c r="AO114">
        <v>0.41399999999999998</v>
      </c>
      <c r="AP114" s="1">
        <v>1E-3</v>
      </c>
      <c r="AQ114" s="1">
        <v>-1.1999999999999999E-3</v>
      </c>
      <c r="AR114" s="1">
        <f t="shared" si="39"/>
        <v>1.2</v>
      </c>
      <c r="AT114" s="13">
        <f t="shared" si="34"/>
        <v>1.0823175108905091E-3</v>
      </c>
      <c r="AU114" s="8">
        <f t="shared" si="40"/>
        <v>-4.8426150121060047E-4</v>
      </c>
    </row>
    <row r="115" spans="1:47" x14ac:dyDescent="0.35">
      <c r="A115" s="17" t="s">
        <v>7</v>
      </c>
      <c r="B115">
        <v>0.5</v>
      </c>
      <c r="C115">
        <v>0.9</v>
      </c>
      <c r="D115">
        <v>0.187</v>
      </c>
      <c r="E115">
        <v>0.187</v>
      </c>
      <c r="F115" s="1">
        <v>5.0000000000000001E-3</v>
      </c>
      <c r="G115" s="1">
        <v>-1.9E-3</v>
      </c>
      <c r="H115" s="1">
        <f t="shared" si="35"/>
        <v>0.38</v>
      </c>
      <c r="J115" t="s">
        <v>7</v>
      </c>
      <c r="K115">
        <v>0.5</v>
      </c>
      <c r="L115">
        <v>0.9</v>
      </c>
      <c r="M115">
        <v>0.187</v>
      </c>
      <c r="N115">
        <v>0.187</v>
      </c>
      <c r="O115" s="1">
        <v>5.0000000000000001E-3</v>
      </c>
      <c r="P115" s="1">
        <v>-2E-3</v>
      </c>
      <c r="Q115" s="1">
        <f t="shared" si="36"/>
        <v>0.4</v>
      </c>
      <c r="S115" t="s">
        <v>7</v>
      </c>
      <c r="T115">
        <v>0.5</v>
      </c>
      <c r="U115">
        <v>0.9</v>
      </c>
      <c r="V115">
        <v>0.187</v>
      </c>
      <c r="W115">
        <v>0.187</v>
      </c>
      <c r="X115" s="1">
        <v>5.0000000000000001E-3</v>
      </c>
      <c r="Y115" s="1">
        <v>-1.6999999999999999E-3</v>
      </c>
      <c r="Z115" s="1">
        <f t="shared" si="37"/>
        <v>0.33999999999999997</v>
      </c>
      <c r="AB115" t="s">
        <v>7</v>
      </c>
      <c r="AC115">
        <v>0.5</v>
      </c>
      <c r="AD115">
        <v>0.9</v>
      </c>
      <c r="AE115">
        <v>0.187</v>
      </c>
      <c r="AF115">
        <v>0.187</v>
      </c>
      <c r="AG115" s="1">
        <v>5.0000000000000001E-3</v>
      </c>
      <c r="AH115" s="1">
        <v>-1.6000000000000001E-3</v>
      </c>
      <c r="AI115" s="1">
        <f t="shared" si="38"/>
        <v>0.32</v>
      </c>
      <c r="AK115" t="s">
        <v>7</v>
      </c>
      <c r="AL115">
        <v>0.5</v>
      </c>
      <c r="AM115">
        <v>0.9</v>
      </c>
      <c r="AN115">
        <v>0.187</v>
      </c>
      <c r="AO115">
        <v>0.187</v>
      </c>
      <c r="AP115" s="1">
        <v>5.0000000000000001E-3</v>
      </c>
      <c r="AQ115" s="1">
        <v>-1.6999999999999999E-3</v>
      </c>
      <c r="AR115" s="1">
        <f t="shared" si="39"/>
        <v>0.33999999999999997</v>
      </c>
      <c r="AT115" s="13">
        <f t="shared" si="34"/>
        <v>0</v>
      </c>
      <c r="AU115" s="8">
        <f t="shared" si="40"/>
        <v>0</v>
      </c>
    </row>
    <row r="116" spans="1:47" x14ac:dyDescent="0.35">
      <c r="A116" s="17" t="s">
        <v>7</v>
      </c>
      <c r="B116">
        <v>1</v>
      </c>
      <c r="C116">
        <v>0.9</v>
      </c>
      <c r="D116">
        <v>6.8500000000000005E-2</v>
      </c>
      <c r="E116">
        <v>6.8699999999999997E-2</v>
      </c>
      <c r="F116" s="1">
        <v>0.01</v>
      </c>
      <c r="G116" s="1">
        <v>-3.0000000000000001E-3</v>
      </c>
      <c r="H116" s="1">
        <f t="shared" si="35"/>
        <v>0.3</v>
      </c>
      <c r="J116" t="s">
        <v>7</v>
      </c>
      <c r="K116">
        <v>1</v>
      </c>
      <c r="L116">
        <v>0.9</v>
      </c>
      <c r="M116">
        <v>6.8500000000000005E-2</v>
      </c>
      <c r="N116">
        <v>6.8699999999999997E-2</v>
      </c>
      <c r="O116" s="1">
        <v>0.01</v>
      </c>
      <c r="P116" s="1">
        <v>-2.8E-3</v>
      </c>
      <c r="Q116" s="1">
        <f t="shared" si="36"/>
        <v>0.27999999999999997</v>
      </c>
      <c r="S116" t="s">
        <v>7</v>
      </c>
      <c r="T116">
        <v>1</v>
      </c>
      <c r="U116">
        <v>0.9</v>
      </c>
      <c r="V116">
        <v>6.8500000000000005E-2</v>
      </c>
      <c r="W116">
        <v>6.8699999999999997E-2</v>
      </c>
      <c r="X116" s="1">
        <v>0.01</v>
      </c>
      <c r="Y116" s="1">
        <v>-2.8999999999999998E-3</v>
      </c>
      <c r="Z116" s="1">
        <f t="shared" si="37"/>
        <v>0.28999999999999998</v>
      </c>
      <c r="AB116" t="s">
        <v>7</v>
      </c>
      <c r="AC116">
        <v>1</v>
      </c>
      <c r="AD116">
        <v>0.9</v>
      </c>
      <c r="AE116">
        <v>6.8500000000000005E-2</v>
      </c>
      <c r="AF116">
        <v>6.8699999999999997E-2</v>
      </c>
      <c r="AG116" s="1">
        <v>0.01</v>
      </c>
      <c r="AH116" s="1">
        <v>-2.5999999999999999E-3</v>
      </c>
      <c r="AI116" s="1">
        <f t="shared" si="38"/>
        <v>0.26</v>
      </c>
      <c r="AK116" t="s">
        <v>7</v>
      </c>
      <c r="AL116">
        <v>1</v>
      </c>
      <c r="AM116">
        <v>0.9</v>
      </c>
      <c r="AN116">
        <v>6.8500000000000005E-2</v>
      </c>
      <c r="AO116">
        <v>6.8599999999999994E-2</v>
      </c>
      <c r="AP116" s="1">
        <v>0.01</v>
      </c>
      <c r="AQ116" s="1">
        <v>-1.8E-3</v>
      </c>
      <c r="AR116" s="1">
        <f t="shared" si="39"/>
        <v>0.18</v>
      </c>
      <c r="AT116" s="13">
        <f t="shared" si="34"/>
        <v>6.5115549723350442E-4</v>
      </c>
      <c r="AU116" s="8">
        <f t="shared" si="40"/>
        <v>-2.6277372262771639E-3</v>
      </c>
    </row>
    <row r="117" spans="1:47" x14ac:dyDescent="0.35">
      <c r="A117" s="17" t="s">
        <v>8</v>
      </c>
      <c r="B117">
        <v>0.1</v>
      </c>
      <c r="C117">
        <v>0.9</v>
      </c>
      <c r="D117">
        <v>9.3100000000000002E-2</v>
      </c>
      <c r="E117">
        <v>9.2799999999999994E-2</v>
      </c>
      <c r="F117" s="1">
        <v>2.1000000000000001E-2</v>
      </c>
      <c r="G117" s="1">
        <v>3.5000000000000001E-3</v>
      </c>
      <c r="H117" s="1">
        <f t="shared" si="35"/>
        <v>0.16666666666666666</v>
      </c>
      <c r="J117" t="s">
        <v>8</v>
      </c>
      <c r="K117">
        <v>0.1</v>
      </c>
      <c r="L117">
        <v>0.9</v>
      </c>
      <c r="M117">
        <v>9.3100000000000002E-2</v>
      </c>
      <c r="N117">
        <v>9.2799999999999994E-2</v>
      </c>
      <c r="O117" s="1">
        <v>2.1000000000000001E-2</v>
      </c>
      <c r="P117" s="1">
        <v>3.0999999999999999E-3</v>
      </c>
      <c r="Q117" s="1">
        <f t="shared" si="36"/>
        <v>0.14761904761904759</v>
      </c>
      <c r="S117" t="s">
        <v>8</v>
      </c>
      <c r="T117">
        <v>0.1</v>
      </c>
      <c r="U117">
        <v>0.9</v>
      </c>
      <c r="V117">
        <v>9.3100000000000002E-2</v>
      </c>
      <c r="W117">
        <v>9.2799999999999994E-2</v>
      </c>
      <c r="X117" s="1">
        <v>2.1000000000000001E-2</v>
      </c>
      <c r="Y117" s="1">
        <v>3.3E-3</v>
      </c>
      <c r="Z117" s="1">
        <f t="shared" si="37"/>
        <v>0.15714285714285714</v>
      </c>
      <c r="AB117" t="s">
        <v>8</v>
      </c>
      <c r="AC117">
        <v>0.1</v>
      </c>
      <c r="AD117">
        <v>0.9</v>
      </c>
      <c r="AE117">
        <v>9.3100000000000002E-2</v>
      </c>
      <c r="AF117">
        <v>9.2700000000000005E-2</v>
      </c>
      <c r="AG117" s="1">
        <v>2.1000000000000001E-2</v>
      </c>
      <c r="AH117" s="1">
        <v>4.4000000000000003E-3</v>
      </c>
      <c r="AI117" s="1">
        <f t="shared" si="38"/>
        <v>0.20952380952380953</v>
      </c>
      <c r="AK117" t="s">
        <v>8</v>
      </c>
      <c r="AL117">
        <v>0.1</v>
      </c>
      <c r="AM117">
        <v>0.9</v>
      </c>
      <c r="AN117">
        <v>9.3100000000000002E-2</v>
      </c>
      <c r="AO117">
        <v>9.2700000000000005E-2</v>
      </c>
      <c r="AP117" s="1">
        <v>2.1000000000000001E-2</v>
      </c>
      <c r="AQ117" s="1">
        <v>4.1999999999999997E-3</v>
      </c>
      <c r="AR117" s="1">
        <f t="shared" si="39"/>
        <v>0.19999999999999998</v>
      </c>
      <c r="AT117" s="14">
        <f t="shared" si="34"/>
        <v>5.9047278730606483E-4</v>
      </c>
      <c r="AU117" s="9">
        <f t="shared" si="40"/>
        <v>3.6519871106338018E-3</v>
      </c>
    </row>
    <row r="118" spans="1:47" x14ac:dyDescent="0.35">
      <c r="A118" s="17" t="s">
        <v>8</v>
      </c>
      <c r="B118">
        <v>0.5</v>
      </c>
      <c r="C118">
        <v>0.9</v>
      </c>
      <c r="D118">
        <v>4.6300000000000001E-2</v>
      </c>
      <c r="E118">
        <v>4.58E-2</v>
      </c>
      <c r="F118" s="1">
        <v>1.7000000000000001E-2</v>
      </c>
      <c r="G118" s="1">
        <v>1.15E-2</v>
      </c>
      <c r="H118" s="1">
        <f t="shared" si="35"/>
        <v>0.67647058823529405</v>
      </c>
      <c r="J118" t="s">
        <v>8</v>
      </c>
      <c r="K118">
        <v>0.5</v>
      </c>
      <c r="L118">
        <v>0.9</v>
      </c>
      <c r="M118">
        <v>4.6300000000000001E-2</v>
      </c>
      <c r="N118">
        <v>4.58E-2</v>
      </c>
      <c r="O118" s="1">
        <v>1.7000000000000001E-2</v>
      </c>
      <c r="P118" s="1">
        <v>1.0699999999999999E-2</v>
      </c>
      <c r="Q118" s="1">
        <f t="shared" si="36"/>
        <v>0.62941176470588223</v>
      </c>
      <c r="S118" t="s">
        <v>8</v>
      </c>
      <c r="T118">
        <v>0.5</v>
      </c>
      <c r="U118">
        <v>0.9</v>
      </c>
      <c r="V118">
        <v>4.6300000000000001E-2</v>
      </c>
      <c r="W118">
        <v>4.5600000000000002E-2</v>
      </c>
      <c r="X118" s="1">
        <v>1.7000000000000001E-2</v>
      </c>
      <c r="Y118" s="1">
        <v>1.46E-2</v>
      </c>
      <c r="Z118" s="1">
        <f t="shared" si="37"/>
        <v>0.85882352941176465</v>
      </c>
      <c r="AB118" t="s">
        <v>8</v>
      </c>
      <c r="AC118">
        <v>0.5</v>
      </c>
      <c r="AD118">
        <v>0.9</v>
      </c>
      <c r="AE118">
        <v>4.6300000000000001E-2</v>
      </c>
      <c r="AF118">
        <v>4.5699999999999998E-2</v>
      </c>
      <c r="AG118" s="1">
        <v>1.7000000000000001E-2</v>
      </c>
      <c r="AH118" s="1">
        <v>1.21E-2</v>
      </c>
      <c r="AI118" s="1">
        <f t="shared" si="38"/>
        <v>0.71176470588235285</v>
      </c>
      <c r="AK118" t="s">
        <v>8</v>
      </c>
      <c r="AL118">
        <v>0.5</v>
      </c>
      <c r="AM118">
        <v>0.9</v>
      </c>
      <c r="AN118">
        <v>4.6300000000000001E-2</v>
      </c>
      <c r="AO118">
        <v>4.58E-2</v>
      </c>
      <c r="AP118" s="1">
        <v>1.7000000000000001E-2</v>
      </c>
      <c r="AQ118" s="1">
        <v>1.11E-2</v>
      </c>
      <c r="AR118" s="1">
        <f t="shared" si="39"/>
        <v>0.65294117647058825</v>
      </c>
      <c r="AT118" s="14">
        <f t="shared" si="34"/>
        <v>1.9554595343242551E-3</v>
      </c>
      <c r="AU118" s="9">
        <f t="shared" si="40"/>
        <v>1.2095032397408164E-2</v>
      </c>
    </row>
    <row r="119" spans="1:47" x14ac:dyDescent="0.35">
      <c r="A119" s="17" t="s">
        <v>8</v>
      </c>
      <c r="B119">
        <v>1</v>
      </c>
      <c r="C119">
        <v>0.9</v>
      </c>
      <c r="D119">
        <v>1.6500000000000001E-2</v>
      </c>
      <c r="E119">
        <v>1.6299999999999999E-2</v>
      </c>
      <c r="F119" s="1">
        <v>1.4E-2</v>
      </c>
      <c r="G119" s="1">
        <v>1.23E-2</v>
      </c>
      <c r="H119" s="1">
        <f t="shared" si="35"/>
        <v>0.87857142857142856</v>
      </c>
      <c r="J119" t="s">
        <v>8</v>
      </c>
      <c r="K119">
        <v>1</v>
      </c>
      <c r="L119">
        <v>0.9</v>
      </c>
      <c r="M119">
        <v>1.6500000000000001E-2</v>
      </c>
      <c r="N119">
        <v>1.6299999999999999E-2</v>
      </c>
      <c r="O119" s="1">
        <v>1.4E-2</v>
      </c>
      <c r="P119" s="1">
        <v>1.3599999999999999E-2</v>
      </c>
      <c r="Q119" s="1">
        <f t="shared" si="36"/>
        <v>0.97142857142857131</v>
      </c>
      <c r="S119" t="s">
        <v>8</v>
      </c>
      <c r="T119">
        <v>1</v>
      </c>
      <c r="U119">
        <v>0.9</v>
      </c>
      <c r="V119">
        <v>1.6500000000000001E-2</v>
      </c>
      <c r="W119">
        <v>1.6199999999999999E-2</v>
      </c>
      <c r="X119" s="1">
        <v>1.4E-2</v>
      </c>
      <c r="Y119" s="1">
        <v>1.61E-2</v>
      </c>
      <c r="Z119" s="1">
        <f t="shared" si="37"/>
        <v>1.1499999999999999</v>
      </c>
      <c r="AB119" t="s">
        <v>8</v>
      </c>
      <c r="AC119">
        <v>1</v>
      </c>
      <c r="AD119">
        <v>0.9</v>
      </c>
      <c r="AE119">
        <v>1.6500000000000001E-2</v>
      </c>
      <c r="AF119">
        <v>1.6199999999999999E-2</v>
      </c>
      <c r="AG119" s="1">
        <v>1.4E-2</v>
      </c>
      <c r="AH119" s="1">
        <v>1.52E-2</v>
      </c>
      <c r="AI119" s="1">
        <f t="shared" si="38"/>
        <v>1.0857142857142856</v>
      </c>
      <c r="AK119" t="s">
        <v>8</v>
      </c>
      <c r="AL119">
        <v>1</v>
      </c>
      <c r="AM119">
        <v>0.9</v>
      </c>
      <c r="AN119">
        <v>1.6500000000000001E-2</v>
      </c>
      <c r="AO119">
        <v>1.6299999999999999E-2</v>
      </c>
      <c r="AP119" s="1">
        <v>1.4E-2</v>
      </c>
      <c r="AQ119" s="1">
        <v>1.4800000000000001E-2</v>
      </c>
      <c r="AR119" s="1">
        <f t="shared" si="39"/>
        <v>1.0571428571428572</v>
      </c>
      <c r="AT119" s="14">
        <f t="shared" si="34"/>
        <v>3.3685274139308901E-3</v>
      </c>
      <c r="AU119" s="9">
        <f t="shared" si="40"/>
        <v>1.4545454545454584E-2</v>
      </c>
    </row>
    <row r="120" spans="1:47" x14ac:dyDescent="0.35">
      <c r="A120" s="17" t="s">
        <v>9</v>
      </c>
      <c r="B120">
        <v>0.1</v>
      </c>
      <c r="C120">
        <v>0.9</v>
      </c>
      <c r="D120">
        <v>6.9899999999999997E-3</v>
      </c>
      <c r="E120">
        <v>6.9800000000000001E-3</v>
      </c>
      <c r="F120" s="1">
        <v>6.3E-2</v>
      </c>
      <c r="G120" s="1">
        <v>1.6999999999999999E-3</v>
      </c>
      <c r="H120" s="1">
        <f t="shared" si="35"/>
        <v>2.6984126984126982E-2</v>
      </c>
      <c r="J120" t="s">
        <v>9</v>
      </c>
      <c r="K120">
        <v>0.1</v>
      </c>
      <c r="L120">
        <v>0.9</v>
      </c>
      <c r="M120">
        <v>6.9899999999999997E-3</v>
      </c>
      <c r="N120">
        <v>6.94E-3</v>
      </c>
      <c r="O120" s="1">
        <v>6.3E-2</v>
      </c>
      <c r="P120" s="1">
        <v>7.3000000000000001E-3</v>
      </c>
      <c r="Q120" s="1">
        <f t="shared" si="36"/>
        <v>0.11587301587301588</v>
      </c>
      <c r="S120" t="s">
        <v>9</v>
      </c>
      <c r="T120">
        <v>0.1</v>
      </c>
      <c r="U120">
        <v>0.9</v>
      </c>
      <c r="V120">
        <v>6.9899999999999997E-3</v>
      </c>
      <c r="W120">
        <v>6.9800000000000001E-3</v>
      </c>
      <c r="X120" s="1">
        <v>6.3E-2</v>
      </c>
      <c r="Y120" s="1">
        <v>1.1000000000000001E-3</v>
      </c>
      <c r="Z120" s="1">
        <f t="shared" si="37"/>
        <v>1.7460317460317461E-2</v>
      </c>
      <c r="AB120" t="s">
        <v>9</v>
      </c>
      <c r="AC120">
        <v>0.1</v>
      </c>
      <c r="AD120">
        <v>0.9</v>
      </c>
      <c r="AE120">
        <v>6.9899999999999997E-3</v>
      </c>
      <c r="AF120">
        <v>6.9800000000000001E-3</v>
      </c>
      <c r="AG120" s="1">
        <v>6.3E-2</v>
      </c>
      <c r="AH120" s="1">
        <v>1.6999999999999999E-3</v>
      </c>
      <c r="AI120" s="1">
        <f t="shared" si="38"/>
        <v>2.6984126984126982E-2</v>
      </c>
      <c r="AK120" t="s">
        <v>9</v>
      </c>
      <c r="AL120">
        <v>0.1</v>
      </c>
      <c r="AM120">
        <v>0.9</v>
      </c>
      <c r="AN120">
        <v>6.9899999999999997E-3</v>
      </c>
      <c r="AO120">
        <v>7.0600000000000003E-3</v>
      </c>
      <c r="AP120" s="1">
        <v>6.3E-2</v>
      </c>
      <c r="AQ120" s="1">
        <v>-1.0500000000000001E-2</v>
      </c>
      <c r="AR120" s="1">
        <f t="shared" si="39"/>
        <v>0.16666666666666669</v>
      </c>
      <c r="AT120" s="12">
        <f t="shared" si="34"/>
        <v>6.2704356898130231E-3</v>
      </c>
      <c r="AU120" s="7">
        <f t="shared" si="40"/>
        <v>2.8612303290418675E-4</v>
      </c>
    </row>
    <row r="121" spans="1:47" x14ac:dyDescent="0.35">
      <c r="A121" s="17" t="s">
        <v>9</v>
      </c>
      <c r="B121">
        <v>0.5</v>
      </c>
      <c r="C121">
        <v>0.9</v>
      </c>
      <c r="D121">
        <v>3.29E-3</v>
      </c>
      <c r="E121">
        <v>3.14E-3</v>
      </c>
      <c r="F121" s="1">
        <v>5.5E-2</v>
      </c>
      <c r="G121" s="1">
        <v>4.5699999999999998E-2</v>
      </c>
      <c r="H121" s="1">
        <f t="shared" si="35"/>
        <v>0.83090909090909082</v>
      </c>
      <c r="J121" t="s">
        <v>9</v>
      </c>
      <c r="K121">
        <v>0.5</v>
      </c>
      <c r="L121">
        <v>0.9</v>
      </c>
      <c r="M121">
        <v>3.29E-3</v>
      </c>
      <c r="N121">
        <v>3.2200000000000002E-3</v>
      </c>
      <c r="O121" s="1">
        <v>5.5E-2</v>
      </c>
      <c r="P121" s="1">
        <v>2.0199999999999999E-2</v>
      </c>
      <c r="Q121" s="1">
        <f t="shared" si="36"/>
        <v>0.36727272727272725</v>
      </c>
      <c r="S121" t="s">
        <v>9</v>
      </c>
      <c r="T121">
        <v>0.5</v>
      </c>
      <c r="U121">
        <v>0.9</v>
      </c>
      <c r="V121">
        <v>3.29E-3</v>
      </c>
      <c r="W121">
        <v>3.2200000000000002E-3</v>
      </c>
      <c r="X121" s="1">
        <v>5.5E-2</v>
      </c>
      <c r="Y121" s="1">
        <v>2.1399999999999999E-2</v>
      </c>
      <c r="Z121" s="1">
        <f t="shared" si="37"/>
        <v>0.38909090909090904</v>
      </c>
      <c r="AB121" t="s">
        <v>9</v>
      </c>
      <c r="AC121">
        <v>0.5</v>
      </c>
      <c r="AD121">
        <v>0.9</v>
      </c>
      <c r="AE121">
        <v>3.29E-3</v>
      </c>
      <c r="AF121">
        <v>3.2000000000000002E-3</v>
      </c>
      <c r="AG121" s="1">
        <v>5.5E-2</v>
      </c>
      <c r="AH121" s="1">
        <v>2.64E-2</v>
      </c>
      <c r="AI121" s="1">
        <f t="shared" si="38"/>
        <v>0.48</v>
      </c>
      <c r="AK121" t="s">
        <v>9</v>
      </c>
      <c r="AL121">
        <v>0.5</v>
      </c>
      <c r="AM121">
        <v>0.9</v>
      </c>
      <c r="AN121">
        <v>3.29E-3</v>
      </c>
      <c r="AO121">
        <v>3.2200000000000002E-3</v>
      </c>
      <c r="AP121" s="1">
        <v>5.5E-2</v>
      </c>
      <c r="AQ121" s="1">
        <v>2.1399999999999999E-2</v>
      </c>
      <c r="AR121" s="1">
        <f t="shared" si="39"/>
        <v>0.38909090909090904</v>
      </c>
      <c r="AT121" s="12">
        <f t="shared" si="34"/>
        <v>1.0825317547305511E-2</v>
      </c>
      <c r="AU121" s="7">
        <f t="shared" si="40"/>
        <v>2.7355623100303893E-2</v>
      </c>
    </row>
    <row r="122" spans="1:47" x14ac:dyDescent="0.35">
      <c r="A122" s="17" t="s">
        <v>9</v>
      </c>
      <c r="B122">
        <v>1</v>
      </c>
      <c r="C122">
        <v>0.9</v>
      </c>
      <c r="D122">
        <v>1.2099999999999999E-3</v>
      </c>
      <c r="E122">
        <v>1.1900000000000001E-3</v>
      </c>
      <c r="F122" s="1">
        <v>0.109</v>
      </c>
      <c r="G122" s="1">
        <v>2.06E-2</v>
      </c>
      <c r="H122" s="1">
        <f t="shared" si="35"/>
        <v>0.1889908256880734</v>
      </c>
      <c r="J122" t="s">
        <v>9</v>
      </c>
      <c r="K122">
        <v>1</v>
      </c>
      <c r="L122">
        <v>0.9</v>
      </c>
      <c r="M122">
        <v>1.2099999999999999E-3</v>
      </c>
      <c r="N122">
        <v>1.17E-3</v>
      </c>
      <c r="O122" s="1">
        <v>0.109</v>
      </c>
      <c r="P122" s="1">
        <v>2.92E-2</v>
      </c>
      <c r="Q122" s="1">
        <f t="shared" si="36"/>
        <v>0.26788990825688075</v>
      </c>
      <c r="S122" t="s">
        <v>9</v>
      </c>
      <c r="T122">
        <v>1</v>
      </c>
      <c r="U122">
        <v>0.9</v>
      </c>
      <c r="V122">
        <v>1.2099999999999999E-3</v>
      </c>
      <c r="W122">
        <v>1.1800000000000001E-3</v>
      </c>
      <c r="X122" s="1">
        <v>0.109</v>
      </c>
      <c r="Y122" s="1">
        <v>2.7400000000000001E-2</v>
      </c>
      <c r="Z122" s="1">
        <f t="shared" si="37"/>
        <v>0.25137614678899084</v>
      </c>
      <c r="AB122" t="s">
        <v>9</v>
      </c>
      <c r="AC122">
        <v>1</v>
      </c>
      <c r="AD122">
        <v>0.9</v>
      </c>
      <c r="AE122">
        <v>1.2099999999999999E-3</v>
      </c>
      <c r="AF122">
        <v>1.17E-3</v>
      </c>
      <c r="AG122" s="1">
        <v>0.109</v>
      </c>
      <c r="AH122" s="1">
        <v>3.1099999999999999E-2</v>
      </c>
      <c r="AI122" s="1">
        <f t="shared" si="38"/>
        <v>0.28532110091743118</v>
      </c>
      <c r="AK122" t="s">
        <v>9</v>
      </c>
      <c r="AL122">
        <v>1</v>
      </c>
      <c r="AM122">
        <v>0.9</v>
      </c>
      <c r="AN122">
        <v>1.2099999999999999E-3</v>
      </c>
      <c r="AO122">
        <v>1.16E-3</v>
      </c>
      <c r="AP122" s="1">
        <v>0.109</v>
      </c>
      <c r="AQ122" s="1">
        <v>4.1700000000000001E-2</v>
      </c>
      <c r="AR122" s="1">
        <f t="shared" si="39"/>
        <v>0.38256880733944953</v>
      </c>
      <c r="AT122" s="12">
        <f>STDEV(AO122,AF122,W122,N122,E122)/ AVERAGE(AO122,AF122,W122,N122,E122)</f>
        <v>9.7118860740983033E-3</v>
      </c>
      <c r="AU122" s="7">
        <f t="shared" si="40"/>
        <v>2.9752066115702309E-2</v>
      </c>
    </row>
    <row r="124" spans="1:47" x14ac:dyDescent="0.35">
      <c r="A124" s="6" t="s">
        <v>15</v>
      </c>
      <c r="B124" s="6"/>
      <c r="C124" s="6"/>
      <c r="D124" s="6"/>
      <c r="E124" s="6"/>
      <c r="F124" s="6"/>
      <c r="G124" s="6"/>
      <c r="H124" s="6"/>
      <c r="AN124" s="6" t="s">
        <v>15</v>
      </c>
      <c r="AO124" s="6"/>
      <c r="AP124" s="6"/>
      <c r="AQ124" s="6"/>
      <c r="AR124" s="6"/>
      <c r="AS124" s="6"/>
      <c r="AT124" s="6"/>
      <c r="AU124" s="6"/>
    </row>
    <row r="125" spans="1:47" x14ac:dyDescent="0.35">
      <c r="A125" s="17" t="s">
        <v>0</v>
      </c>
      <c r="B125" t="s">
        <v>1</v>
      </c>
      <c r="C125" t="s">
        <v>2</v>
      </c>
      <c r="D125" t="s">
        <v>3</v>
      </c>
      <c r="E125" t="s">
        <v>4</v>
      </c>
      <c r="F125" t="s">
        <v>5</v>
      </c>
      <c r="G125" t="s">
        <v>6</v>
      </c>
      <c r="J125" t="s">
        <v>0</v>
      </c>
      <c r="K125" t="s">
        <v>1</v>
      </c>
      <c r="L125" t="s">
        <v>2</v>
      </c>
      <c r="M125" t="s">
        <v>3</v>
      </c>
      <c r="N125" t="s">
        <v>4</v>
      </c>
      <c r="O125" t="s">
        <v>5</v>
      </c>
      <c r="P125" t="s">
        <v>6</v>
      </c>
      <c r="S125" t="s">
        <v>0</v>
      </c>
      <c r="T125" t="s">
        <v>1</v>
      </c>
      <c r="U125" t="s">
        <v>2</v>
      </c>
      <c r="V125" t="s">
        <v>3</v>
      </c>
      <c r="W125" t="s">
        <v>4</v>
      </c>
      <c r="X125" t="s">
        <v>5</v>
      </c>
      <c r="Y125" t="s">
        <v>6</v>
      </c>
      <c r="AB125" t="s">
        <v>0</v>
      </c>
      <c r="AC125" t="s">
        <v>1</v>
      </c>
      <c r="AD125" t="s">
        <v>2</v>
      </c>
      <c r="AE125" t="s">
        <v>3</v>
      </c>
      <c r="AF125" t="s">
        <v>4</v>
      </c>
      <c r="AG125" t="s">
        <v>5</v>
      </c>
      <c r="AH125" t="s">
        <v>6</v>
      </c>
      <c r="AK125" t="s">
        <v>0</v>
      </c>
      <c r="AL125" t="s">
        <v>1</v>
      </c>
      <c r="AM125" t="s">
        <v>2</v>
      </c>
      <c r="AN125" t="s">
        <v>3</v>
      </c>
      <c r="AO125" t="s">
        <v>4</v>
      </c>
      <c r="AP125" t="s">
        <v>5</v>
      </c>
      <c r="AQ125" t="s">
        <v>6</v>
      </c>
      <c r="AT125" s="15"/>
    </row>
    <row r="126" spans="1:47" x14ac:dyDescent="0.35">
      <c r="A126" s="17" t="s">
        <v>7</v>
      </c>
      <c r="B126">
        <v>0.8</v>
      </c>
      <c r="C126">
        <v>0.2</v>
      </c>
      <c r="D126">
        <v>0.16200000000000001</v>
      </c>
      <c r="E126">
        <v>0.16200000000000001</v>
      </c>
      <c r="F126" s="1">
        <v>0</v>
      </c>
      <c r="G126" s="1">
        <v>-6.9999999999999999E-4</v>
      </c>
      <c r="H126" s="1" t="e">
        <f>ABS(G126/F126)</f>
        <v>#DIV/0!</v>
      </c>
      <c r="J126" t="s">
        <v>7</v>
      </c>
      <c r="K126">
        <v>0.8</v>
      </c>
      <c r="L126">
        <v>0.2</v>
      </c>
      <c r="M126">
        <v>0.16200000000000001</v>
      </c>
      <c r="N126">
        <v>0.16200000000000001</v>
      </c>
      <c r="O126" s="1">
        <v>0</v>
      </c>
      <c r="P126" s="1">
        <v>-6.9999999999999999E-4</v>
      </c>
      <c r="Q126" s="1" t="e">
        <f>ABS(P126/O126)</f>
        <v>#DIV/0!</v>
      </c>
      <c r="S126" t="s">
        <v>7</v>
      </c>
      <c r="T126">
        <v>0.8</v>
      </c>
      <c r="U126">
        <v>0.2</v>
      </c>
      <c r="V126">
        <v>0.16200000000000001</v>
      </c>
      <c r="W126">
        <v>0.16200000000000001</v>
      </c>
      <c r="X126" s="1">
        <v>0</v>
      </c>
      <c r="Y126" s="1">
        <v>-8.0000000000000004E-4</v>
      </c>
      <c r="Z126" s="1" t="e">
        <f>ABS(Y126/X126)</f>
        <v>#DIV/0!</v>
      </c>
      <c r="AB126" t="s">
        <v>7</v>
      </c>
      <c r="AC126">
        <v>0.8</v>
      </c>
      <c r="AD126">
        <v>0.2</v>
      </c>
      <c r="AE126">
        <v>0.16200000000000001</v>
      </c>
      <c r="AF126">
        <v>0.16200000000000001</v>
      </c>
      <c r="AG126" s="1">
        <v>0</v>
      </c>
      <c r="AH126" s="1">
        <v>-4.0000000000000002E-4</v>
      </c>
      <c r="AI126" s="1" t="e">
        <f>ABS(AH126/AG126)</f>
        <v>#DIV/0!</v>
      </c>
      <c r="AK126" t="s">
        <v>7</v>
      </c>
      <c r="AL126">
        <v>0.8</v>
      </c>
      <c r="AM126">
        <v>0.2</v>
      </c>
      <c r="AN126">
        <v>0.16200000000000001</v>
      </c>
      <c r="AO126">
        <v>0.16200000000000001</v>
      </c>
      <c r="AP126" s="1">
        <v>0</v>
      </c>
      <c r="AQ126" s="1">
        <v>-4.0000000000000002E-4</v>
      </c>
      <c r="AR126" s="1" t="e">
        <f>ABS(AQ126/AP126)</f>
        <v>#DIV/0!</v>
      </c>
      <c r="AT126" s="13">
        <f t="shared" ref="AT126:AT142" si="41">STDEV(AO126,AF126,W126,N126,E126)/ AVERAGE(AO126,AF126,W126,N126,E126)</f>
        <v>0</v>
      </c>
      <c r="AU126" s="8">
        <f>( D126 - AVERAGE(AO126,AF126,W126,N126,E126))/ D126</f>
        <v>0</v>
      </c>
    </row>
    <row r="127" spans="1:47" x14ac:dyDescent="0.35">
      <c r="A127" s="17" t="s">
        <v>7</v>
      </c>
      <c r="B127">
        <v>4</v>
      </c>
      <c r="C127">
        <v>0.2</v>
      </c>
      <c r="D127">
        <v>2.2699999999999999E-3</v>
      </c>
      <c r="E127">
        <v>2.2799999999999999E-3</v>
      </c>
      <c r="F127" s="1">
        <v>2E-3</v>
      </c>
      <c r="G127" s="1">
        <v>-2.3E-3</v>
      </c>
      <c r="H127" s="1">
        <f t="shared" ref="H127:H143" si="42">ABS(G127/F127)</f>
        <v>1.1499999999999999</v>
      </c>
      <c r="J127" t="s">
        <v>7</v>
      </c>
      <c r="K127">
        <v>4</v>
      </c>
      <c r="L127">
        <v>0.2</v>
      </c>
      <c r="M127">
        <v>2.2699999999999999E-3</v>
      </c>
      <c r="N127">
        <v>2.2799999999999999E-3</v>
      </c>
      <c r="O127" s="1">
        <v>2E-3</v>
      </c>
      <c r="P127" s="1">
        <v>-4.1999999999999997E-3</v>
      </c>
      <c r="Q127" s="1">
        <f t="shared" ref="Q127:Q143" si="43">ABS(P127/O127)</f>
        <v>2.0999999999999996</v>
      </c>
      <c r="S127" t="s">
        <v>7</v>
      </c>
      <c r="T127">
        <v>4</v>
      </c>
      <c r="U127">
        <v>0.2</v>
      </c>
      <c r="V127">
        <v>2.2699999999999999E-3</v>
      </c>
      <c r="W127">
        <v>2.2799999999999999E-3</v>
      </c>
      <c r="X127" s="1">
        <v>2E-3</v>
      </c>
      <c r="Y127" s="1">
        <v>-3.7000000000000002E-3</v>
      </c>
      <c r="Z127" s="1">
        <f t="shared" ref="Z127:Z143" si="44">ABS(Y127/X127)</f>
        <v>1.85</v>
      </c>
      <c r="AB127" t="s">
        <v>7</v>
      </c>
      <c r="AC127">
        <v>4</v>
      </c>
      <c r="AD127">
        <v>0.2</v>
      </c>
      <c r="AE127">
        <v>2.2699999999999999E-3</v>
      </c>
      <c r="AF127">
        <v>2.2799999999999999E-3</v>
      </c>
      <c r="AG127" s="1">
        <v>2E-3</v>
      </c>
      <c r="AH127" s="1">
        <v>-3.3E-3</v>
      </c>
      <c r="AI127" s="1">
        <f t="shared" ref="AI127:AI143" si="45">ABS(AH127/AG127)</f>
        <v>1.65</v>
      </c>
      <c r="AK127" t="s">
        <v>7</v>
      </c>
      <c r="AL127">
        <v>4</v>
      </c>
      <c r="AM127">
        <v>0.2</v>
      </c>
      <c r="AN127">
        <v>2.2699999999999999E-3</v>
      </c>
      <c r="AO127">
        <v>2.2799999999999999E-3</v>
      </c>
      <c r="AP127" s="1">
        <v>2E-3</v>
      </c>
      <c r="AQ127" s="1">
        <v>-5.3E-3</v>
      </c>
      <c r="AR127" s="1">
        <f t="shared" ref="AR127:AR143" si="46">ABS(AQ127/AP127)</f>
        <v>2.65</v>
      </c>
      <c r="AT127" s="13">
        <f t="shared" si="41"/>
        <v>0</v>
      </c>
      <c r="AU127" s="8">
        <f t="shared" ref="AU127:AU143" si="47">( D127 - AVERAGE(AO127,AF127,W127,N127,E127))/ D127</f>
        <v>-4.4052863436123465E-3</v>
      </c>
    </row>
    <row r="128" spans="1:47" x14ac:dyDescent="0.35">
      <c r="A128" s="17" t="s">
        <v>7</v>
      </c>
      <c r="B128">
        <v>8</v>
      </c>
      <c r="C128">
        <v>0.2</v>
      </c>
      <c r="D128">
        <v>1.2999999999999999E-5</v>
      </c>
      <c r="E128">
        <v>1.26E-5</v>
      </c>
      <c r="F128" s="1">
        <v>4.7E-2</v>
      </c>
      <c r="G128" s="1">
        <v>2.7699999999999999E-2</v>
      </c>
      <c r="H128" s="1">
        <f t="shared" si="42"/>
        <v>0.58936170212765959</v>
      </c>
      <c r="J128" t="s">
        <v>7</v>
      </c>
      <c r="K128">
        <v>8</v>
      </c>
      <c r="L128">
        <v>0.2</v>
      </c>
      <c r="M128">
        <v>1.2999999999999999E-5</v>
      </c>
      <c r="N128">
        <v>1.26E-5</v>
      </c>
      <c r="O128" s="1">
        <v>4.7E-2</v>
      </c>
      <c r="P128" s="1">
        <v>2.92E-2</v>
      </c>
      <c r="Q128" s="1">
        <f t="shared" si="43"/>
        <v>0.62127659574468086</v>
      </c>
      <c r="S128" t="s">
        <v>7</v>
      </c>
      <c r="T128">
        <v>8</v>
      </c>
      <c r="U128">
        <v>0.2</v>
      </c>
      <c r="V128">
        <v>1.2999999999999999E-5</v>
      </c>
      <c r="W128">
        <v>1.29E-5</v>
      </c>
      <c r="X128" s="1">
        <v>4.7E-2</v>
      </c>
      <c r="Y128" s="1">
        <v>7.7000000000000002E-3</v>
      </c>
      <c r="Z128" s="1">
        <f t="shared" si="44"/>
        <v>0.16382978723404257</v>
      </c>
      <c r="AB128" t="s">
        <v>7</v>
      </c>
      <c r="AC128">
        <v>8</v>
      </c>
      <c r="AD128">
        <v>0.2</v>
      </c>
      <c r="AE128">
        <v>1.2999999999999999E-5</v>
      </c>
      <c r="AF128">
        <v>1.3200000000000001E-5</v>
      </c>
      <c r="AG128" s="1">
        <v>4.7E-2</v>
      </c>
      <c r="AH128" s="1">
        <v>-1.9199999999999998E-2</v>
      </c>
      <c r="AI128" s="1">
        <f t="shared" si="45"/>
        <v>0.40851063829787232</v>
      </c>
      <c r="AK128" t="s">
        <v>7</v>
      </c>
      <c r="AL128">
        <v>8</v>
      </c>
      <c r="AM128">
        <v>0.2</v>
      </c>
      <c r="AN128">
        <v>1.2999999999999999E-5</v>
      </c>
      <c r="AO128">
        <v>1.3499999999999999E-5</v>
      </c>
      <c r="AP128" s="1">
        <v>4.7E-2</v>
      </c>
      <c r="AQ128" s="1">
        <v>-3.9199999999999999E-2</v>
      </c>
      <c r="AR128" s="1">
        <f t="shared" si="46"/>
        <v>0.83404255319148934</v>
      </c>
      <c r="AT128" s="13">
        <f t="shared" si="41"/>
        <v>3.0181492616678934E-2</v>
      </c>
      <c r="AU128" s="8">
        <f t="shared" si="47"/>
        <v>3.0769230769229173E-3</v>
      </c>
    </row>
    <row r="129" spans="1:47" x14ac:dyDescent="0.35">
      <c r="A129" s="17" t="s">
        <v>8</v>
      </c>
      <c r="B129">
        <v>0.8</v>
      </c>
      <c r="C129">
        <v>0.2</v>
      </c>
      <c r="D129">
        <v>9.6599999999999995E-4</v>
      </c>
      <c r="E129">
        <v>9.7000000000000005E-4</v>
      </c>
      <c r="F129" s="1">
        <v>2.3E-2</v>
      </c>
      <c r="G129" s="1">
        <v>-3.7000000000000002E-3</v>
      </c>
      <c r="H129" s="1">
        <f t="shared" si="42"/>
        <v>0.16086956521739132</v>
      </c>
      <c r="J129" t="s">
        <v>8</v>
      </c>
      <c r="K129">
        <v>0.8</v>
      </c>
      <c r="L129">
        <v>0.2</v>
      </c>
      <c r="M129">
        <v>9.6599999999999995E-4</v>
      </c>
      <c r="N129">
        <v>9.6000000000000002E-4</v>
      </c>
      <c r="O129" s="1">
        <v>2.3E-2</v>
      </c>
      <c r="P129" s="1">
        <v>6.1999999999999998E-3</v>
      </c>
      <c r="Q129" s="1">
        <f t="shared" si="43"/>
        <v>0.26956521739130435</v>
      </c>
      <c r="S129" t="s">
        <v>8</v>
      </c>
      <c r="T129">
        <v>0.8</v>
      </c>
      <c r="U129">
        <v>0.2</v>
      </c>
      <c r="V129">
        <v>9.6599999999999995E-4</v>
      </c>
      <c r="W129">
        <v>9.5799999999999998E-4</v>
      </c>
      <c r="X129" s="1">
        <v>2.3E-2</v>
      </c>
      <c r="Y129" s="1">
        <v>7.9000000000000008E-3</v>
      </c>
      <c r="Z129" s="1">
        <f t="shared" si="44"/>
        <v>0.34347826086956523</v>
      </c>
      <c r="AB129" t="s">
        <v>8</v>
      </c>
      <c r="AC129">
        <v>0.8</v>
      </c>
      <c r="AD129">
        <v>0.2</v>
      </c>
      <c r="AE129">
        <v>9.6599999999999995E-4</v>
      </c>
      <c r="AF129">
        <v>9.6100000000000005E-4</v>
      </c>
      <c r="AG129" s="1">
        <v>2.3E-2</v>
      </c>
      <c r="AH129" s="1">
        <v>4.7000000000000002E-3</v>
      </c>
      <c r="AI129" s="1">
        <f t="shared" si="45"/>
        <v>0.20434782608695654</v>
      </c>
      <c r="AK129" t="s">
        <v>8</v>
      </c>
      <c r="AL129">
        <v>0.8</v>
      </c>
      <c r="AM129">
        <v>0.2</v>
      </c>
      <c r="AN129">
        <v>9.6599999999999995E-4</v>
      </c>
      <c r="AO129">
        <v>9.6599999999999995E-4</v>
      </c>
      <c r="AP129" s="1">
        <v>2.3E-2</v>
      </c>
      <c r="AQ129" s="1">
        <v>4.0000000000000002E-4</v>
      </c>
      <c r="AR129" s="1">
        <f t="shared" si="46"/>
        <v>1.7391304347826087E-2</v>
      </c>
      <c r="AT129" s="14">
        <f t="shared" si="41"/>
        <v>5.0872061116992362E-3</v>
      </c>
      <c r="AU129" s="9">
        <f t="shared" si="47"/>
        <v>3.1055900621117646E-3</v>
      </c>
    </row>
    <row r="130" spans="1:47" x14ac:dyDescent="0.35">
      <c r="A130" s="17" t="s">
        <v>8</v>
      </c>
      <c r="B130">
        <v>4</v>
      </c>
      <c r="C130">
        <v>0.2</v>
      </c>
      <c r="D130">
        <v>1.3699999999999999E-5</v>
      </c>
      <c r="E130">
        <v>1.38E-5</v>
      </c>
      <c r="F130" s="1">
        <v>6.3E-2</v>
      </c>
      <c r="G130" s="1">
        <v>-8.0000000000000002E-3</v>
      </c>
      <c r="H130" s="1">
        <f t="shared" si="42"/>
        <v>0.12698412698412698</v>
      </c>
      <c r="J130" t="s">
        <v>8</v>
      </c>
      <c r="K130">
        <v>4</v>
      </c>
      <c r="L130">
        <v>0.2</v>
      </c>
      <c r="M130">
        <v>1.3699999999999999E-5</v>
      </c>
      <c r="N130">
        <v>1.4800000000000001E-5</v>
      </c>
      <c r="O130" s="1">
        <v>6.3E-2</v>
      </c>
      <c r="P130" s="1">
        <v>-8.3199999999999996E-2</v>
      </c>
      <c r="Q130" s="1">
        <f t="shared" si="43"/>
        <v>1.3206349206349206</v>
      </c>
      <c r="S130" t="s">
        <v>8</v>
      </c>
      <c r="T130">
        <v>4</v>
      </c>
      <c r="U130">
        <v>0.2</v>
      </c>
      <c r="V130">
        <v>1.3699999999999999E-5</v>
      </c>
      <c r="W130">
        <v>1.27E-5</v>
      </c>
      <c r="X130" s="1">
        <v>6.3E-2</v>
      </c>
      <c r="Y130" s="1">
        <v>7.0800000000000002E-2</v>
      </c>
      <c r="Z130" s="1">
        <f t="shared" si="44"/>
        <v>1.1238095238095238</v>
      </c>
      <c r="AB130" t="s">
        <v>8</v>
      </c>
      <c r="AC130">
        <v>4</v>
      </c>
      <c r="AD130">
        <v>0.2</v>
      </c>
      <c r="AE130">
        <v>1.3699999999999999E-5</v>
      </c>
      <c r="AF130">
        <v>1.36E-5</v>
      </c>
      <c r="AG130" s="1">
        <v>6.3E-2</v>
      </c>
      <c r="AH130" s="1">
        <v>9.4999999999999998E-3</v>
      </c>
      <c r="AI130" s="1">
        <f t="shared" si="45"/>
        <v>0.15079365079365079</v>
      </c>
      <c r="AK130" t="s">
        <v>8</v>
      </c>
      <c r="AL130">
        <v>4</v>
      </c>
      <c r="AM130">
        <v>0.2</v>
      </c>
      <c r="AN130">
        <v>1.3699999999999999E-5</v>
      </c>
      <c r="AO130">
        <v>1.22E-5</v>
      </c>
      <c r="AP130" s="1">
        <v>6.3E-2</v>
      </c>
      <c r="AQ130" s="1">
        <v>0.1066</v>
      </c>
      <c r="AR130" s="1">
        <f t="shared" si="46"/>
        <v>1.692063492063492</v>
      </c>
      <c r="AT130" s="14">
        <f t="shared" si="41"/>
        <v>7.5330861139195904E-2</v>
      </c>
      <c r="AU130" s="9">
        <f t="shared" si="47"/>
        <v>2.0437956204379493E-2</v>
      </c>
    </row>
    <row r="131" spans="1:47" x14ac:dyDescent="0.35">
      <c r="A131" s="17" t="s">
        <v>8</v>
      </c>
      <c r="B131">
        <v>8</v>
      </c>
      <c r="C131">
        <v>0.2</v>
      </c>
      <c r="D131">
        <v>7.2800000000000003E-8</v>
      </c>
      <c r="E131">
        <v>2E-8</v>
      </c>
      <c r="F131" s="1">
        <v>0.187</v>
      </c>
      <c r="G131" s="1">
        <v>0.72529999999999994</v>
      </c>
      <c r="H131" s="1">
        <f t="shared" si="42"/>
        <v>3.878609625668449</v>
      </c>
      <c r="J131" t="s">
        <v>8</v>
      </c>
      <c r="K131">
        <v>8</v>
      </c>
      <c r="L131">
        <v>0.2</v>
      </c>
      <c r="M131">
        <v>7.2800000000000003E-8</v>
      </c>
      <c r="N131">
        <v>7.0000000000000005E-8</v>
      </c>
      <c r="O131" s="1">
        <v>0.187</v>
      </c>
      <c r="P131" s="1">
        <v>3.85E-2</v>
      </c>
      <c r="Q131" s="1">
        <f t="shared" si="43"/>
        <v>0.20588235294117646</v>
      </c>
      <c r="S131" t="s">
        <v>8</v>
      </c>
      <c r="T131">
        <v>8</v>
      </c>
      <c r="U131">
        <v>0.2</v>
      </c>
      <c r="V131">
        <v>7.2800000000000003E-8</v>
      </c>
      <c r="W131">
        <v>0</v>
      </c>
      <c r="X131" s="1">
        <v>0.187</v>
      </c>
      <c r="Y131" s="1">
        <v>1</v>
      </c>
      <c r="Z131" s="1">
        <f t="shared" si="44"/>
        <v>5.3475935828877006</v>
      </c>
      <c r="AB131" t="s">
        <v>8</v>
      </c>
      <c r="AC131">
        <v>8</v>
      </c>
      <c r="AD131">
        <v>0.2</v>
      </c>
      <c r="AE131">
        <v>7.2800000000000003E-8</v>
      </c>
      <c r="AF131">
        <v>2.9999999999999997E-8</v>
      </c>
      <c r="AG131" s="1">
        <v>0.187</v>
      </c>
      <c r="AH131" s="1">
        <v>0.58789999999999998</v>
      </c>
      <c r="AI131" s="1">
        <f t="shared" si="45"/>
        <v>3.1438502673796789</v>
      </c>
      <c r="AK131" t="s">
        <v>8</v>
      </c>
      <c r="AL131">
        <v>8</v>
      </c>
      <c r="AM131">
        <v>0.2</v>
      </c>
      <c r="AN131">
        <v>7.2800000000000003E-8</v>
      </c>
      <c r="AO131">
        <v>1.6999999999999999E-7</v>
      </c>
      <c r="AP131" s="1">
        <v>0.187</v>
      </c>
      <c r="AQ131" s="1">
        <v>-1.3351999999999999</v>
      </c>
      <c r="AR131" s="1">
        <f t="shared" si="46"/>
        <v>7.1401069518716573</v>
      </c>
      <c r="AT131" s="14">
        <f t="shared" si="41"/>
        <v>1.1655478469762461</v>
      </c>
      <c r="AU131" s="9">
        <f t="shared" si="47"/>
        <v>0.2032967032967033</v>
      </c>
    </row>
    <row r="132" spans="1:47" x14ac:dyDescent="0.35">
      <c r="A132" s="17" t="s">
        <v>9</v>
      </c>
      <c r="B132">
        <v>0.8</v>
      </c>
      <c r="C132">
        <v>0.2</v>
      </c>
      <c r="D132">
        <v>5.4700000000000001E-5</v>
      </c>
      <c r="E132">
        <v>5.49E-5</v>
      </c>
      <c r="F132" s="1">
        <v>0.06</v>
      </c>
      <c r="G132" s="1">
        <v>-3.3E-3</v>
      </c>
      <c r="H132" s="1">
        <f t="shared" si="42"/>
        <v>5.5E-2</v>
      </c>
      <c r="J132" t="s">
        <v>9</v>
      </c>
      <c r="K132">
        <v>0.8</v>
      </c>
      <c r="L132">
        <v>0.2</v>
      </c>
      <c r="M132">
        <v>5.4700000000000001E-5</v>
      </c>
      <c r="N132">
        <v>4.9700000000000002E-5</v>
      </c>
      <c r="O132" s="1">
        <v>0.06</v>
      </c>
      <c r="P132" s="1">
        <v>9.1999999999999998E-2</v>
      </c>
      <c r="Q132" s="1">
        <f t="shared" si="43"/>
        <v>1.5333333333333334</v>
      </c>
      <c r="S132" t="s">
        <v>9</v>
      </c>
      <c r="T132">
        <v>0.8</v>
      </c>
      <c r="U132">
        <v>0.2</v>
      </c>
      <c r="V132">
        <v>5.4700000000000001E-5</v>
      </c>
      <c r="W132">
        <v>5.6400000000000002E-5</v>
      </c>
      <c r="X132" s="1">
        <v>0.06</v>
      </c>
      <c r="Y132" s="1">
        <v>-3.0499999999999999E-2</v>
      </c>
      <c r="Z132" s="1">
        <f t="shared" si="44"/>
        <v>0.5083333333333333</v>
      </c>
      <c r="AB132" t="s">
        <v>9</v>
      </c>
      <c r="AC132">
        <v>0.8</v>
      </c>
      <c r="AD132">
        <v>0.2</v>
      </c>
      <c r="AE132">
        <v>5.4700000000000001E-5</v>
      </c>
      <c r="AF132">
        <v>6.0600000000000003E-5</v>
      </c>
      <c r="AG132" s="1">
        <v>0.06</v>
      </c>
      <c r="AH132" s="1">
        <v>-0.10879999999999999</v>
      </c>
      <c r="AI132" s="1">
        <f t="shared" si="45"/>
        <v>1.8133333333333332</v>
      </c>
      <c r="AK132" t="s">
        <v>9</v>
      </c>
      <c r="AL132">
        <v>0.8</v>
      </c>
      <c r="AM132">
        <v>0.2</v>
      </c>
      <c r="AN132">
        <v>5.4700000000000001E-5</v>
      </c>
      <c r="AO132">
        <v>5.6400000000000002E-5</v>
      </c>
      <c r="AP132" s="1">
        <v>0.06</v>
      </c>
      <c r="AQ132" s="1">
        <v>-3.0499999999999999E-2</v>
      </c>
      <c r="AR132" s="1">
        <f t="shared" si="46"/>
        <v>0.5083333333333333</v>
      </c>
      <c r="AT132" s="12">
        <f t="shared" si="41"/>
        <v>7.0569177398609531E-2</v>
      </c>
      <c r="AU132" s="7">
        <f t="shared" si="47"/>
        <v>-1.645338208409497E-2</v>
      </c>
    </row>
    <row r="133" spans="1:47" x14ac:dyDescent="0.35">
      <c r="A133" s="17" t="s">
        <v>9</v>
      </c>
      <c r="B133">
        <v>4</v>
      </c>
      <c r="C133">
        <v>0.2</v>
      </c>
      <c r="D133">
        <v>6.2399999999999998E-7</v>
      </c>
      <c r="E133">
        <v>9.2999999999999999E-7</v>
      </c>
      <c r="F133" s="1">
        <v>0.35499999999999998</v>
      </c>
      <c r="G133" s="1">
        <v>-0.4904</v>
      </c>
      <c r="H133" s="1">
        <f t="shared" si="42"/>
        <v>1.3814084507042255</v>
      </c>
      <c r="J133" t="s">
        <v>9</v>
      </c>
      <c r="K133">
        <v>4</v>
      </c>
      <c r="L133">
        <v>0.2</v>
      </c>
      <c r="M133">
        <v>6.2399999999999998E-7</v>
      </c>
      <c r="N133">
        <v>7.4000000000000001E-7</v>
      </c>
      <c r="O133" s="1">
        <v>0.35499999999999998</v>
      </c>
      <c r="P133" s="1">
        <v>-0.18590000000000001</v>
      </c>
      <c r="Q133" s="1">
        <f t="shared" si="43"/>
        <v>0.52366197183098595</v>
      </c>
      <c r="S133" t="s">
        <v>9</v>
      </c>
      <c r="T133">
        <v>4</v>
      </c>
      <c r="U133">
        <v>0.2</v>
      </c>
      <c r="V133">
        <v>6.2399999999999998E-7</v>
      </c>
      <c r="W133">
        <v>7.4000000000000001E-7</v>
      </c>
      <c r="X133" s="1">
        <v>0.35499999999999998</v>
      </c>
      <c r="Y133" s="1">
        <v>-0.18590000000000001</v>
      </c>
      <c r="Z133" s="1">
        <f t="shared" si="44"/>
        <v>0.52366197183098595</v>
      </c>
      <c r="AB133" t="s">
        <v>9</v>
      </c>
      <c r="AC133">
        <v>4</v>
      </c>
      <c r="AD133">
        <v>0.2</v>
      </c>
      <c r="AE133">
        <v>6.2399999999999998E-7</v>
      </c>
      <c r="AF133">
        <v>9.2999999999999999E-7</v>
      </c>
      <c r="AG133" s="1">
        <v>0.35499999999999998</v>
      </c>
      <c r="AH133" s="1">
        <v>-0.4904</v>
      </c>
      <c r="AI133" s="1">
        <f t="shared" si="45"/>
        <v>1.3814084507042255</v>
      </c>
      <c r="AK133" t="s">
        <v>9</v>
      </c>
      <c r="AL133">
        <v>4</v>
      </c>
      <c r="AM133">
        <v>0.2</v>
      </c>
      <c r="AN133">
        <v>6.2399999999999998E-7</v>
      </c>
      <c r="AO133">
        <v>1.1200000000000001E-6</v>
      </c>
      <c r="AP133" s="1">
        <v>0.35499999999999998</v>
      </c>
      <c r="AQ133" s="1">
        <v>-0.79490000000000005</v>
      </c>
      <c r="AR133" s="1">
        <f t="shared" si="46"/>
        <v>2.2391549295774649</v>
      </c>
      <c r="AT133" s="12">
        <f t="shared" si="41"/>
        <v>0.17821233749044213</v>
      </c>
      <c r="AU133" s="7">
        <f t="shared" si="47"/>
        <v>-0.42948717948717935</v>
      </c>
    </row>
    <row r="134" spans="1:47" x14ac:dyDescent="0.35">
      <c r="A134" s="17" t="s">
        <v>9</v>
      </c>
      <c r="B134">
        <v>8</v>
      </c>
      <c r="C134">
        <v>0.2</v>
      </c>
      <c r="D134">
        <v>4.0199999999999998E-9</v>
      </c>
      <c r="E134">
        <v>0</v>
      </c>
      <c r="F134" s="1">
        <v>0.248</v>
      </c>
      <c r="G134" s="1">
        <v>1</v>
      </c>
      <c r="H134" s="1">
        <f t="shared" si="42"/>
        <v>4.032258064516129</v>
      </c>
      <c r="J134" t="s">
        <v>9</v>
      </c>
      <c r="K134">
        <v>8</v>
      </c>
      <c r="L134">
        <v>0.2</v>
      </c>
      <c r="M134">
        <v>4.0199999999999998E-9</v>
      </c>
      <c r="N134">
        <v>0</v>
      </c>
      <c r="O134" s="1">
        <v>0.248</v>
      </c>
      <c r="P134" s="1">
        <v>1</v>
      </c>
      <c r="Q134" s="1">
        <f t="shared" si="43"/>
        <v>4.032258064516129</v>
      </c>
      <c r="S134" t="s">
        <v>9</v>
      </c>
      <c r="T134">
        <v>8</v>
      </c>
      <c r="U134">
        <v>0.2</v>
      </c>
      <c r="V134">
        <v>4.0199999999999998E-9</v>
      </c>
      <c r="W134">
        <v>0</v>
      </c>
      <c r="X134" s="1">
        <v>0.248</v>
      </c>
      <c r="Y134" s="1">
        <v>1</v>
      </c>
      <c r="Z134" s="1">
        <f t="shared" si="44"/>
        <v>4.032258064516129</v>
      </c>
      <c r="AB134" t="s">
        <v>9</v>
      </c>
      <c r="AC134">
        <v>8</v>
      </c>
      <c r="AD134">
        <v>0.2</v>
      </c>
      <c r="AE134">
        <v>4.0199999999999998E-9</v>
      </c>
      <c r="AF134">
        <v>0</v>
      </c>
      <c r="AG134" s="1">
        <v>0.248</v>
      </c>
      <c r="AH134" s="1">
        <v>1</v>
      </c>
      <c r="AI134" s="1">
        <f t="shared" si="45"/>
        <v>4.032258064516129</v>
      </c>
      <c r="AK134" t="s">
        <v>9</v>
      </c>
      <c r="AL134">
        <v>8</v>
      </c>
      <c r="AM134">
        <v>0.2</v>
      </c>
      <c r="AN134">
        <v>4.0199999999999998E-9</v>
      </c>
      <c r="AO134">
        <v>0</v>
      </c>
      <c r="AP134" s="1">
        <v>0.248</v>
      </c>
      <c r="AQ134" s="1">
        <v>1</v>
      </c>
      <c r="AR134" s="1">
        <f t="shared" si="46"/>
        <v>4.032258064516129</v>
      </c>
      <c r="AT134" s="12" t="e">
        <f t="shared" si="41"/>
        <v>#DIV/0!</v>
      </c>
      <c r="AU134" s="7">
        <f t="shared" si="47"/>
        <v>1</v>
      </c>
    </row>
    <row r="135" spans="1:47" x14ac:dyDescent="0.35">
      <c r="A135" s="17" t="s">
        <v>7</v>
      </c>
      <c r="B135">
        <v>0.1</v>
      </c>
      <c r="C135">
        <v>0.9</v>
      </c>
      <c r="D135">
        <v>0.41299999999999998</v>
      </c>
      <c r="E135">
        <v>0.41299999999999998</v>
      </c>
      <c r="F135" s="1">
        <v>1E-3</v>
      </c>
      <c r="G135" s="1">
        <v>-1E-3</v>
      </c>
      <c r="H135" s="1">
        <f t="shared" si="42"/>
        <v>1</v>
      </c>
      <c r="J135" t="s">
        <v>7</v>
      </c>
      <c r="K135">
        <v>0.1</v>
      </c>
      <c r="L135">
        <v>0.9</v>
      </c>
      <c r="M135">
        <v>0.41299999999999998</v>
      </c>
      <c r="N135">
        <v>0.41299999999999998</v>
      </c>
      <c r="O135" s="1">
        <v>1E-3</v>
      </c>
      <c r="P135" s="1">
        <v>-1.1999999999999999E-3</v>
      </c>
      <c r="Q135" s="1">
        <f t="shared" si="43"/>
        <v>1.2</v>
      </c>
      <c r="S135" t="s">
        <v>7</v>
      </c>
      <c r="T135">
        <v>0.1</v>
      </c>
      <c r="U135">
        <v>0.9</v>
      </c>
      <c r="V135">
        <v>0.41299999999999998</v>
      </c>
      <c r="W135">
        <v>0.41299999999999998</v>
      </c>
      <c r="X135" s="1">
        <v>1E-3</v>
      </c>
      <c r="Y135" s="1">
        <v>-1.1000000000000001E-3</v>
      </c>
      <c r="Z135" s="1">
        <f t="shared" si="44"/>
        <v>1.1000000000000001</v>
      </c>
      <c r="AB135" t="s">
        <v>7</v>
      </c>
      <c r="AC135">
        <v>0.1</v>
      </c>
      <c r="AD135">
        <v>0.9</v>
      </c>
      <c r="AE135">
        <v>0.41299999999999998</v>
      </c>
      <c r="AF135">
        <v>0.41299999999999998</v>
      </c>
      <c r="AG135" s="1">
        <v>1E-3</v>
      </c>
      <c r="AH135" s="1">
        <v>-1.1999999999999999E-3</v>
      </c>
      <c r="AI135" s="1">
        <f t="shared" si="45"/>
        <v>1.2</v>
      </c>
      <c r="AK135" t="s">
        <v>7</v>
      </c>
      <c r="AL135">
        <v>0.1</v>
      </c>
      <c r="AM135">
        <v>0.9</v>
      </c>
      <c r="AN135">
        <v>0.41299999999999998</v>
      </c>
      <c r="AO135">
        <v>0.41299999999999998</v>
      </c>
      <c r="AP135" s="1">
        <v>1E-3</v>
      </c>
      <c r="AQ135" s="1">
        <v>-1.1000000000000001E-3</v>
      </c>
      <c r="AR135" s="1">
        <f t="shared" si="46"/>
        <v>1.1000000000000001</v>
      </c>
      <c r="AT135" s="13">
        <f t="shared" si="41"/>
        <v>0</v>
      </c>
      <c r="AU135" s="8">
        <f t="shared" si="47"/>
        <v>0</v>
      </c>
    </row>
    <row r="136" spans="1:47" x14ac:dyDescent="0.35">
      <c r="A136" s="17" t="s">
        <v>7</v>
      </c>
      <c r="B136">
        <v>0.5</v>
      </c>
      <c r="C136">
        <v>0.9</v>
      </c>
      <c r="D136">
        <v>0.187</v>
      </c>
      <c r="E136">
        <v>0.187</v>
      </c>
      <c r="F136" s="1">
        <v>5.0000000000000001E-3</v>
      </c>
      <c r="G136" s="1">
        <v>-1.9E-3</v>
      </c>
      <c r="H136" s="1">
        <f t="shared" si="42"/>
        <v>0.38</v>
      </c>
      <c r="J136" t="s">
        <v>7</v>
      </c>
      <c r="K136">
        <v>0.5</v>
      </c>
      <c r="L136">
        <v>0.9</v>
      </c>
      <c r="M136">
        <v>0.187</v>
      </c>
      <c r="N136">
        <v>0.187</v>
      </c>
      <c r="O136" s="1">
        <v>5.0000000000000001E-3</v>
      </c>
      <c r="P136" s="1">
        <v>-1.6999999999999999E-3</v>
      </c>
      <c r="Q136" s="1">
        <f t="shared" si="43"/>
        <v>0.33999999999999997</v>
      </c>
      <c r="S136" t="s">
        <v>7</v>
      </c>
      <c r="T136">
        <v>0.5</v>
      </c>
      <c r="U136">
        <v>0.9</v>
      </c>
      <c r="V136">
        <v>0.187</v>
      </c>
      <c r="W136">
        <v>0.187</v>
      </c>
      <c r="X136" s="1">
        <v>5.0000000000000001E-3</v>
      </c>
      <c r="Y136" s="1">
        <v>-1.9E-3</v>
      </c>
      <c r="Z136" s="1">
        <f t="shared" si="44"/>
        <v>0.38</v>
      </c>
      <c r="AB136" t="s">
        <v>7</v>
      </c>
      <c r="AC136">
        <v>0.5</v>
      </c>
      <c r="AD136">
        <v>0.9</v>
      </c>
      <c r="AE136">
        <v>0.187</v>
      </c>
      <c r="AF136">
        <v>0.187</v>
      </c>
      <c r="AG136" s="1">
        <v>5.0000000000000001E-3</v>
      </c>
      <c r="AH136" s="1">
        <v>-1.6999999999999999E-3</v>
      </c>
      <c r="AI136" s="1">
        <f t="shared" si="45"/>
        <v>0.33999999999999997</v>
      </c>
      <c r="AK136" t="s">
        <v>7</v>
      </c>
      <c r="AL136">
        <v>0.5</v>
      </c>
      <c r="AM136">
        <v>0.9</v>
      </c>
      <c r="AN136">
        <v>0.187</v>
      </c>
      <c r="AO136">
        <v>0.187</v>
      </c>
      <c r="AP136" s="1">
        <v>5.0000000000000001E-3</v>
      </c>
      <c r="AQ136" s="1">
        <v>-1.6999999999999999E-3</v>
      </c>
      <c r="AR136" s="1">
        <f t="shared" si="46"/>
        <v>0.33999999999999997</v>
      </c>
      <c r="AT136" s="13">
        <f t="shared" si="41"/>
        <v>0</v>
      </c>
      <c r="AU136" s="8">
        <f t="shared" si="47"/>
        <v>0</v>
      </c>
    </row>
    <row r="137" spans="1:47" x14ac:dyDescent="0.35">
      <c r="A137" s="17" t="s">
        <v>7</v>
      </c>
      <c r="B137">
        <v>1</v>
      </c>
      <c r="C137">
        <v>0.9</v>
      </c>
      <c r="D137">
        <v>6.8500000000000005E-2</v>
      </c>
      <c r="E137">
        <v>6.8699999999999997E-2</v>
      </c>
      <c r="F137" s="1">
        <v>0.01</v>
      </c>
      <c r="G137" s="1">
        <v>-2.8999999999999998E-3</v>
      </c>
      <c r="H137" s="1">
        <f t="shared" si="42"/>
        <v>0.28999999999999998</v>
      </c>
      <c r="J137" t="s">
        <v>7</v>
      </c>
      <c r="K137">
        <v>1</v>
      </c>
      <c r="L137">
        <v>0.9</v>
      </c>
      <c r="M137">
        <v>6.8500000000000005E-2</v>
      </c>
      <c r="N137">
        <v>6.8699999999999997E-2</v>
      </c>
      <c r="O137" s="1">
        <v>0.01</v>
      </c>
      <c r="P137" s="1">
        <v>-2.8999999999999998E-3</v>
      </c>
      <c r="Q137" s="1">
        <f t="shared" si="43"/>
        <v>0.28999999999999998</v>
      </c>
      <c r="S137" t="s">
        <v>7</v>
      </c>
      <c r="T137">
        <v>1</v>
      </c>
      <c r="U137">
        <v>0.9</v>
      </c>
      <c r="V137">
        <v>6.8500000000000005E-2</v>
      </c>
      <c r="W137">
        <v>6.8699999999999997E-2</v>
      </c>
      <c r="X137" s="1">
        <v>0.01</v>
      </c>
      <c r="Y137" s="1">
        <v>-3.3999999999999998E-3</v>
      </c>
      <c r="Z137" s="1">
        <f t="shared" si="44"/>
        <v>0.33999999999999997</v>
      </c>
      <c r="AB137" t="s">
        <v>7</v>
      </c>
      <c r="AC137">
        <v>1</v>
      </c>
      <c r="AD137">
        <v>0.9</v>
      </c>
      <c r="AE137">
        <v>6.8500000000000005E-2</v>
      </c>
      <c r="AF137">
        <v>6.8699999999999997E-2</v>
      </c>
      <c r="AG137" s="1">
        <v>0.01</v>
      </c>
      <c r="AH137" s="1">
        <v>-2.8E-3</v>
      </c>
      <c r="AI137" s="1">
        <f t="shared" si="45"/>
        <v>0.27999999999999997</v>
      </c>
      <c r="AK137" t="s">
        <v>7</v>
      </c>
      <c r="AL137">
        <v>1</v>
      </c>
      <c r="AM137">
        <v>0.9</v>
      </c>
      <c r="AN137">
        <v>6.8500000000000005E-2</v>
      </c>
      <c r="AO137">
        <v>6.8699999999999997E-2</v>
      </c>
      <c r="AP137" s="1">
        <v>0.01</v>
      </c>
      <c r="AQ137" s="1">
        <v>-3.3E-3</v>
      </c>
      <c r="AR137" s="1">
        <f t="shared" si="46"/>
        <v>0.33</v>
      </c>
      <c r="AT137" s="13">
        <f t="shared" si="41"/>
        <v>0</v>
      </c>
      <c r="AU137" s="8">
        <f t="shared" si="47"/>
        <v>-2.9197080291969613E-3</v>
      </c>
    </row>
    <row r="138" spans="1:47" x14ac:dyDescent="0.35">
      <c r="A138" s="17" t="s">
        <v>8</v>
      </c>
      <c r="B138">
        <v>0.1</v>
      </c>
      <c r="C138">
        <v>0.9</v>
      </c>
      <c r="D138">
        <v>9.3100000000000002E-2</v>
      </c>
      <c r="E138">
        <v>9.2600000000000002E-2</v>
      </c>
      <c r="F138" s="1">
        <v>2.1000000000000001E-2</v>
      </c>
      <c r="G138" s="1">
        <v>5.4000000000000003E-3</v>
      </c>
      <c r="H138" s="1">
        <f t="shared" si="42"/>
        <v>0.25714285714285712</v>
      </c>
      <c r="J138" t="s">
        <v>8</v>
      </c>
      <c r="K138">
        <v>0.1</v>
      </c>
      <c r="L138">
        <v>0.9</v>
      </c>
      <c r="M138">
        <v>9.3100000000000002E-2</v>
      </c>
      <c r="N138">
        <v>9.2799999999999994E-2</v>
      </c>
      <c r="O138" s="1">
        <v>2.1000000000000001E-2</v>
      </c>
      <c r="P138" s="1">
        <v>3.5999999999999999E-3</v>
      </c>
      <c r="Q138" s="1">
        <f t="shared" si="43"/>
        <v>0.1714285714285714</v>
      </c>
      <c r="S138" t="s">
        <v>8</v>
      </c>
      <c r="T138">
        <v>0.1</v>
      </c>
      <c r="U138">
        <v>0.9</v>
      </c>
      <c r="V138">
        <v>9.3100000000000002E-2</v>
      </c>
      <c r="W138">
        <v>9.2700000000000005E-2</v>
      </c>
      <c r="X138" s="1">
        <v>2.1000000000000001E-2</v>
      </c>
      <c r="Y138" s="1">
        <v>3.8E-3</v>
      </c>
      <c r="Z138" s="1">
        <f t="shared" si="44"/>
        <v>0.18095238095238095</v>
      </c>
      <c r="AB138" t="s">
        <v>8</v>
      </c>
      <c r="AC138">
        <v>0.1</v>
      </c>
      <c r="AD138">
        <v>0.9</v>
      </c>
      <c r="AE138">
        <v>9.3100000000000002E-2</v>
      </c>
      <c r="AF138">
        <v>9.2700000000000005E-2</v>
      </c>
      <c r="AG138" s="1">
        <v>2.1000000000000001E-2</v>
      </c>
      <c r="AH138" s="1">
        <v>3.8E-3</v>
      </c>
      <c r="AI138" s="1">
        <f t="shared" si="45"/>
        <v>0.18095238095238095</v>
      </c>
      <c r="AK138" t="s">
        <v>8</v>
      </c>
      <c r="AL138">
        <v>0.1</v>
      </c>
      <c r="AM138">
        <v>0.9</v>
      </c>
      <c r="AN138">
        <v>9.3100000000000002E-2</v>
      </c>
      <c r="AO138">
        <v>9.2600000000000002E-2</v>
      </c>
      <c r="AP138" s="1">
        <v>2.1000000000000001E-2</v>
      </c>
      <c r="AQ138" s="1">
        <v>4.7999999999999996E-3</v>
      </c>
      <c r="AR138" s="1">
        <f t="shared" si="46"/>
        <v>0.22857142857142854</v>
      </c>
      <c r="AT138" s="14">
        <f t="shared" si="41"/>
        <v>9.0274064149120582E-4</v>
      </c>
      <c r="AU138" s="9">
        <f t="shared" si="47"/>
        <v>4.5112781954886128E-3</v>
      </c>
    </row>
    <row r="139" spans="1:47" x14ac:dyDescent="0.35">
      <c r="A139" s="17" t="s">
        <v>8</v>
      </c>
      <c r="B139">
        <v>0.5</v>
      </c>
      <c r="C139">
        <v>0.9</v>
      </c>
      <c r="D139">
        <v>4.6300000000000001E-2</v>
      </c>
      <c r="E139">
        <v>4.58E-2</v>
      </c>
      <c r="F139" s="1">
        <v>1.7000000000000001E-2</v>
      </c>
      <c r="G139" s="1">
        <v>1.0500000000000001E-2</v>
      </c>
      <c r="H139" s="1">
        <f t="shared" si="42"/>
        <v>0.61764705882352944</v>
      </c>
      <c r="J139" t="s">
        <v>8</v>
      </c>
      <c r="K139">
        <v>0.5</v>
      </c>
      <c r="L139">
        <v>0.9</v>
      </c>
      <c r="M139">
        <v>4.6300000000000001E-2</v>
      </c>
      <c r="N139">
        <v>4.58E-2</v>
      </c>
      <c r="O139" s="1">
        <v>1.7000000000000001E-2</v>
      </c>
      <c r="P139" s="1">
        <v>1.17E-2</v>
      </c>
      <c r="Q139" s="1">
        <f t="shared" si="43"/>
        <v>0.68823529411764706</v>
      </c>
      <c r="S139" t="s">
        <v>8</v>
      </c>
      <c r="T139">
        <v>0.5</v>
      </c>
      <c r="U139">
        <v>0.9</v>
      </c>
      <c r="V139">
        <v>4.6300000000000001E-2</v>
      </c>
      <c r="W139">
        <v>4.5699999999999998E-2</v>
      </c>
      <c r="X139" s="1">
        <v>1.7000000000000001E-2</v>
      </c>
      <c r="Y139" s="1">
        <v>1.21E-2</v>
      </c>
      <c r="Z139" s="1">
        <f t="shared" si="44"/>
        <v>0.71176470588235285</v>
      </c>
      <c r="AB139" t="s">
        <v>8</v>
      </c>
      <c r="AC139">
        <v>0.5</v>
      </c>
      <c r="AD139">
        <v>0.9</v>
      </c>
      <c r="AE139">
        <v>4.6300000000000001E-2</v>
      </c>
      <c r="AF139">
        <v>4.5699999999999998E-2</v>
      </c>
      <c r="AG139" s="1">
        <v>1.7000000000000001E-2</v>
      </c>
      <c r="AH139" s="1">
        <v>1.26E-2</v>
      </c>
      <c r="AI139" s="1">
        <f t="shared" si="45"/>
        <v>0.74117647058823521</v>
      </c>
      <c r="AK139" t="s">
        <v>8</v>
      </c>
      <c r="AL139">
        <v>0.5</v>
      </c>
      <c r="AM139">
        <v>0.9</v>
      </c>
      <c r="AN139">
        <v>4.6300000000000001E-2</v>
      </c>
      <c r="AO139">
        <v>4.5699999999999998E-2</v>
      </c>
      <c r="AP139" s="1">
        <v>1.7000000000000001E-2</v>
      </c>
      <c r="AQ139" s="1">
        <v>1.2E-2</v>
      </c>
      <c r="AR139" s="1">
        <f t="shared" si="46"/>
        <v>0.70588235294117641</v>
      </c>
      <c r="AT139" s="14">
        <f t="shared" si="41"/>
        <v>1.1974695179387445E-3</v>
      </c>
      <c r="AU139" s="9">
        <f t="shared" si="47"/>
        <v>1.2095032397408164E-2</v>
      </c>
    </row>
    <row r="140" spans="1:47" x14ac:dyDescent="0.35">
      <c r="A140" s="17" t="s">
        <v>8</v>
      </c>
      <c r="B140">
        <v>1</v>
      </c>
      <c r="C140">
        <v>0.9</v>
      </c>
      <c r="D140">
        <v>1.6500000000000001E-2</v>
      </c>
      <c r="E140">
        <v>1.6299999999999999E-2</v>
      </c>
      <c r="F140" s="1">
        <v>1.4E-2</v>
      </c>
      <c r="G140" s="1">
        <v>1.5100000000000001E-2</v>
      </c>
      <c r="H140" s="1">
        <f t="shared" si="42"/>
        <v>1.0785714285714285</v>
      </c>
      <c r="J140" t="s">
        <v>8</v>
      </c>
      <c r="K140">
        <v>1</v>
      </c>
      <c r="L140">
        <v>0.9</v>
      </c>
      <c r="M140">
        <v>1.6500000000000001E-2</v>
      </c>
      <c r="N140">
        <v>1.6299999999999999E-2</v>
      </c>
      <c r="O140" s="1">
        <v>1.4E-2</v>
      </c>
      <c r="P140" s="1">
        <v>1.4999999999999999E-2</v>
      </c>
      <c r="Q140" s="1">
        <f t="shared" si="43"/>
        <v>1.0714285714285714</v>
      </c>
      <c r="S140" t="s">
        <v>8</v>
      </c>
      <c r="T140">
        <v>1</v>
      </c>
      <c r="U140">
        <v>0.9</v>
      </c>
      <c r="V140">
        <v>1.6500000000000001E-2</v>
      </c>
      <c r="W140">
        <v>1.6299999999999999E-2</v>
      </c>
      <c r="X140" s="1">
        <v>1.4E-2</v>
      </c>
      <c r="Y140" s="1">
        <v>1.35E-2</v>
      </c>
      <c r="Z140" s="1">
        <f t="shared" si="44"/>
        <v>0.9642857142857143</v>
      </c>
      <c r="AB140" t="s">
        <v>8</v>
      </c>
      <c r="AC140">
        <v>1</v>
      </c>
      <c r="AD140">
        <v>0.9</v>
      </c>
      <c r="AE140">
        <v>1.6500000000000001E-2</v>
      </c>
      <c r="AF140">
        <v>1.6299999999999999E-2</v>
      </c>
      <c r="AG140" s="1">
        <v>1.4E-2</v>
      </c>
      <c r="AH140" s="1">
        <v>1.35E-2</v>
      </c>
      <c r="AI140" s="1">
        <f t="shared" si="45"/>
        <v>0.9642857142857143</v>
      </c>
      <c r="AK140" t="s">
        <v>8</v>
      </c>
      <c r="AL140">
        <v>1</v>
      </c>
      <c r="AM140">
        <v>0.9</v>
      </c>
      <c r="AN140">
        <v>1.6500000000000001E-2</v>
      </c>
      <c r="AO140">
        <v>1.6299999999999999E-2</v>
      </c>
      <c r="AP140" s="1">
        <v>1.4E-2</v>
      </c>
      <c r="AQ140" s="1">
        <v>1.2200000000000001E-2</v>
      </c>
      <c r="AR140" s="1">
        <f t="shared" si="46"/>
        <v>0.87142857142857144</v>
      </c>
      <c r="AT140" s="14">
        <f t="shared" si="41"/>
        <v>0</v>
      </c>
      <c r="AU140" s="9">
        <f t="shared" si="47"/>
        <v>1.2121212121212258E-2</v>
      </c>
    </row>
    <row r="141" spans="1:47" x14ac:dyDescent="0.35">
      <c r="A141" s="17" t="s">
        <v>9</v>
      </c>
      <c r="B141">
        <v>0.1</v>
      </c>
      <c r="C141">
        <v>0.9</v>
      </c>
      <c r="D141">
        <v>6.9899999999999997E-3</v>
      </c>
      <c r="E141">
        <v>6.9899999999999997E-3</v>
      </c>
      <c r="F141" s="1">
        <v>6.3E-2</v>
      </c>
      <c r="G141" s="1">
        <v>1E-4</v>
      </c>
      <c r="H141" s="1">
        <f t="shared" si="42"/>
        <v>1.5873015873015873E-3</v>
      </c>
      <c r="J141" t="s">
        <v>9</v>
      </c>
      <c r="K141">
        <v>0.1</v>
      </c>
      <c r="L141">
        <v>0.9</v>
      </c>
      <c r="M141">
        <v>6.9899999999999997E-3</v>
      </c>
      <c r="N141">
        <v>6.9300000000000004E-3</v>
      </c>
      <c r="O141" s="1">
        <v>6.3E-2</v>
      </c>
      <c r="P141" s="1">
        <v>8.0000000000000002E-3</v>
      </c>
      <c r="Q141" s="1">
        <f t="shared" si="43"/>
        <v>0.12698412698412698</v>
      </c>
      <c r="S141" t="s">
        <v>9</v>
      </c>
      <c r="T141">
        <v>0.1</v>
      </c>
      <c r="U141">
        <v>0.9</v>
      </c>
      <c r="V141">
        <v>6.9899999999999997E-3</v>
      </c>
      <c r="W141">
        <v>6.9899999999999997E-3</v>
      </c>
      <c r="X141" s="1">
        <v>6.3E-2</v>
      </c>
      <c r="Y141" s="1">
        <v>2.9999999999999997E-4</v>
      </c>
      <c r="Z141" s="1">
        <f t="shared" si="44"/>
        <v>4.7619047619047615E-3</v>
      </c>
      <c r="AB141" t="s">
        <v>9</v>
      </c>
      <c r="AC141">
        <v>0.1</v>
      </c>
      <c r="AD141">
        <v>0.9</v>
      </c>
      <c r="AE141">
        <v>6.9899999999999997E-3</v>
      </c>
      <c r="AF141">
        <v>7.0099999999999997E-3</v>
      </c>
      <c r="AG141" s="1">
        <v>6.3E-2</v>
      </c>
      <c r="AH141" s="1">
        <v>-2.5999999999999999E-3</v>
      </c>
      <c r="AI141" s="1">
        <f t="shared" si="45"/>
        <v>4.1269841269841269E-2</v>
      </c>
      <c r="AK141" t="s">
        <v>9</v>
      </c>
      <c r="AL141">
        <v>0.1</v>
      </c>
      <c r="AM141">
        <v>0.9</v>
      </c>
      <c r="AN141">
        <v>6.9899999999999997E-3</v>
      </c>
      <c r="AO141">
        <v>6.9499999999999996E-3</v>
      </c>
      <c r="AP141" s="1">
        <v>6.3E-2</v>
      </c>
      <c r="AQ141" s="1">
        <v>5.7000000000000002E-3</v>
      </c>
      <c r="AR141" s="1">
        <f t="shared" si="46"/>
        <v>9.0476190476190474E-2</v>
      </c>
      <c r="AT141" s="12">
        <f t="shared" si="41"/>
        <v>4.712267486422392E-3</v>
      </c>
      <c r="AU141" s="7">
        <f t="shared" si="47"/>
        <v>2.2889842632332459E-3</v>
      </c>
    </row>
    <row r="142" spans="1:47" x14ac:dyDescent="0.35">
      <c r="A142" s="17" t="s">
        <v>9</v>
      </c>
      <c r="B142">
        <v>0.5</v>
      </c>
      <c r="C142">
        <v>0.9</v>
      </c>
      <c r="D142">
        <v>3.29E-3</v>
      </c>
      <c r="E142">
        <v>3.1900000000000001E-3</v>
      </c>
      <c r="F142" s="1">
        <v>5.5E-2</v>
      </c>
      <c r="G142" s="1">
        <v>2.8899999999999999E-2</v>
      </c>
      <c r="H142" s="1">
        <f t="shared" si="42"/>
        <v>0.5254545454545454</v>
      </c>
      <c r="J142" t="s">
        <v>9</v>
      </c>
      <c r="K142">
        <v>0.5</v>
      </c>
      <c r="L142">
        <v>0.9</v>
      </c>
      <c r="M142">
        <v>3.29E-3</v>
      </c>
      <c r="N142">
        <v>3.2100000000000002E-3</v>
      </c>
      <c r="O142" s="1">
        <v>5.5E-2</v>
      </c>
      <c r="P142" s="1">
        <v>2.3599999999999999E-2</v>
      </c>
      <c r="Q142" s="1">
        <f t="shared" si="43"/>
        <v>0.42909090909090908</v>
      </c>
      <c r="S142" t="s">
        <v>9</v>
      </c>
      <c r="T142">
        <v>0.5</v>
      </c>
      <c r="U142">
        <v>0.9</v>
      </c>
      <c r="V142">
        <v>3.29E-3</v>
      </c>
      <c r="W142">
        <v>3.2200000000000002E-3</v>
      </c>
      <c r="X142" s="1">
        <v>5.5E-2</v>
      </c>
      <c r="Y142" s="1">
        <v>2.1600000000000001E-2</v>
      </c>
      <c r="Z142" s="1">
        <f t="shared" si="44"/>
        <v>0.39272727272727276</v>
      </c>
      <c r="AB142" t="s">
        <v>9</v>
      </c>
      <c r="AC142">
        <v>0.5</v>
      </c>
      <c r="AD142">
        <v>0.9</v>
      </c>
      <c r="AE142">
        <v>3.29E-3</v>
      </c>
      <c r="AF142">
        <v>3.2200000000000002E-3</v>
      </c>
      <c r="AG142" s="1">
        <v>5.5E-2</v>
      </c>
      <c r="AH142" s="1">
        <v>2.1999999999999999E-2</v>
      </c>
      <c r="AI142" s="1">
        <f t="shared" si="45"/>
        <v>0.39999999999999997</v>
      </c>
      <c r="AK142" t="s">
        <v>9</v>
      </c>
      <c r="AL142">
        <v>0.5</v>
      </c>
      <c r="AM142">
        <v>0.9</v>
      </c>
      <c r="AN142">
        <v>3.29E-3</v>
      </c>
      <c r="AO142">
        <v>3.1800000000000001E-3</v>
      </c>
      <c r="AP142" s="1">
        <v>5.5E-2</v>
      </c>
      <c r="AQ142" s="1">
        <v>3.39E-2</v>
      </c>
      <c r="AR142" s="1">
        <f t="shared" si="46"/>
        <v>0.61636363636363634</v>
      </c>
      <c r="AT142" s="12">
        <f t="shared" si="41"/>
        <v>5.6697572174110485E-3</v>
      </c>
      <c r="AU142" s="7">
        <f t="shared" si="47"/>
        <v>2.6139817629179374E-2</v>
      </c>
    </row>
    <row r="143" spans="1:47" x14ac:dyDescent="0.35">
      <c r="A143" s="17" t="s">
        <v>9</v>
      </c>
      <c r="B143">
        <v>1</v>
      </c>
      <c r="C143">
        <v>0.9</v>
      </c>
      <c r="D143">
        <v>1.2099999999999999E-3</v>
      </c>
      <c r="E143">
        <v>1.1800000000000001E-3</v>
      </c>
      <c r="F143" s="1">
        <v>0.109</v>
      </c>
      <c r="G143" s="1">
        <v>2.35E-2</v>
      </c>
      <c r="H143" s="1">
        <f t="shared" si="42"/>
        <v>0.21559633027522937</v>
      </c>
      <c r="J143" t="s">
        <v>9</v>
      </c>
      <c r="K143">
        <v>1</v>
      </c>
      <c r="L143">
        <v>0.9</v>
      </c>
      <c r="M143">
        <v>1.2099999999999999E-3</v>
      </c>
      <c r="N143">
        <v>1.1800000000000001E-3</v>
      </c>
      <c r="O143" s="1">
        <v>0.109</v>
      </c>
      <c r="P143" s="1">
        <v>2.5399999999999999E-2</v>
      </c>
      <c r="Q143" s="1">
        <f t="shared" si="43"/>
        <v>0.2330275229357798</v>
      </c>
      <c r="S143" t="s">
        <v>9</v>
      </c>
      <c r="T143">
        <v>1</v>
      </c>
      <c r="U143">
        <v>0.9</v>
      </c>
      <c r="V143">
        <v>1.2099999999999999E-3</v>
      </c>
      <c r="W143">
        <v>1.15E-3</v>
      </c>
      <c r="X143" s="1">
        <v>0.109</v>
      </c>
      <c r="Y143" s="1">
        <v>4.6600000000000003E-2</v>
      </c>
      <c r="Z143" s="1">
        <f t="shared" si="44"/>
        <v>0.42752293577981654</v>
      </c>
      <c r="AB143" t="s">
        <v>9</v>
      </c>
      <c r="AC143">
        <v>1</v>
      </c>
      <c r="AD143">
        <v>0.9</v>
      </c>
      <c r="AE143">
        <v>1.2099999999999999E-3</v>
      </c>
      <c r="AF143">
        <v>1.1900000000000001E-3</v>
      </c>
      <c r="AG143" s="1">
        <v>0.109</v>
      </c>
      <c r="AH143" s="1">
        <v>1.29E-2</v>
      </c>
      <c r="AI143" s="1">
        <f t="shared" si="45"/>
        <v>0.11834862385321102</v>
      </c>
      <c r="AK143" t="s">
        <v>9</v>
      </c>
      <c r="AL143">
        <v>1</v>
      </c>
      <c r="AM143">
        <v>0.9</v>
      </c>
      <c r="AN143">
        <v>1.2099999999999999E-3</v>
      </c>
      <c r="AO143">
        <v>1.15E-3</v>
      </c>
      <c r="AP143" s="1">
        <v>0.109</v>
      </c>
      <c r="AQ143" s="1">
        <v>4.9399999999999999E-2</v>
      </c>
      <c r="AR143" s="1">
        <f t="shared" si="46"/>
        <v>0.4532110091743119</v>
      </c>
      <c r="AT143" s="12">
        <f>STDEV(AO143,AF143,W143,N143,E143)/ AVERAGE(AO143,AF143,W143,N143,E143)</f>
        <v>1.5989988832367311E-2</v>
      </c>
      <c r="AU143" s="7">
        <f t="shared" si="47"/>
        <v>3.3057851239669152E-2</v>
      </c>
    </row>
    <row r="145" spans="1:47" x14ac:dyDescent="0.35">
      <c r="A145" s="6" t="s">
        <v>16</v>
      </c>
      <c r="B145" s="6"/>
      <c r="C145" s="6"/>
      <c r="D145" s="6"/>
      <c r="E145" s="6"/>
      <c r="F145" s="6"/>
      <c r="G145" s="6"/>
      <c r="H145" s="6"/>
      <c r="AN145" s="6" t="s">
        <v>16</v>
      </c>
      <c r="AO145" s="6"/>
      <c r="AP145" s="6"/>
      <c r="AQ145" s="6"/>
      <c r="AR145" s="6"/>
      <c r="AS145" s="6"/>
      <c r="AT145" s="6"/>
      <c r="AU145" s="6"/>
    </row>
    <row r="146" spans="1:47" x14ac:dyDescent="0.35">
      <c r="A146" s="17" t="s">
        <v>0</v>
      </c>
      <c r="B146" t="s">
        <v>1</v>
      </c>
      <c r="C146" t="s">
        <v>2</v>
      </c>
      <c r="D146" t="s">
        <v>3</v>
      </c>
      <c r="E146" t="s">
        <v>4</v>
      </c>
      <c r="F146" t="s">
        <v>5</v>
      </c>
      <c r="G146" t="s">
        <v>6</v>
      </c>
      <c r="J146" t="s">
        <v>0</v>
      </c>
      <c r="K146" t="s">
        <v>1</v>
      </c>
      <c r="L146" t="s">
        <v>2</v>
      </c>
      <c r="M146" t="s">
        <v>3</v>
      </c>
      <c r="N146" t="s">
        <v>4</v>
      </c>
      <c r="O146" t="s">
        <v>5</v>
      </c>
      <c r="P146" t="s">
        <v>6</v>
      </c>
      <c r="S146" t="s">
        <v>0</v>
      </c>
      <c r="T146" t="s">
        <v>1</v>
      </c>
      <c r="U146" t="s">
        <v>2</v>
      </c>
      <c r="V146" t="s">
        <v>3</v>
      </c>
      <c r="W146" t="s">
        <v>4</v>
      </c>
      <c r="X146" t="s">
        <v>5</v>
      </c>
      <c r="Y146" t="s">
        <v>6</v>
      </c>
      <c r="AB146" t="s">
        <v>0</v>
      </c>
      <c r="AC146" t="s">
        <v>1</v>
      </c>
      <c r="AD146" t="s">
        <v>2</v>
      </c>
      <c r="AE146" t="s">
        <v>3</v>
      </c>
      <c r="AF146" t="s">
        <v>4</v>
      </c>
      <c r="AG146" t="s">
        <v>5</v>
      </c>
      <c r="AH146" t="s">
        <v>6</v>
      </c>
      <c r="AK146" t="s">
        <v>0</v>
      </c>
      <c r="AL146" t="s">
        <v>1</v>
      </c>
      <c r="AM146" t="s">
        <v>2</v>
      </c>
      <c r="AN146" t="s">
        <v>3</v>
      </c>
      <c r="AO146" t="s">
        <v>4</v>
      </c>
      <c r="AP146" t="s">
        <v>5</v>
      </c>
      <c r="AQ146" t="s">
        <v>6</v>
      </c>
      <c r="AT146" s="15"/>
    </row>
    <row r="147" spans="1:47" x14ac:dyDescent="0.35">
      <c r="A147" s="17" t="s">
        <v>7</v>
      </c>
      <c r="B147">
        <v>0.8</v>
      </c>
      <c r="C147">
        <v>0.2</v>
      </c>
      <c r="D147">
        <v>0.16200000000000001</v>
      </c>
      <c r="E147">
        <v>0.16200000000000001</v>
      </c>
      <c r="F147" s="1">
        <v>0</v>
      </c>
      <c r="G147" s="1">
        <v>8.9999999999999998E-4</v>
      </c>
      <c r="H147" s="1" t="e">
        <f>ABS(G147/F147)</f>
        <v>#DIV/0!</v>
      </c>
      <c r="J147" t="s">
        <v>7</v>
      </c>
      <c r="K147">
        <v>0.8</v>
      </c>
      <c r="L147">
        <v>0.2</v>
      </c>
      <c r="M147">
        <v>0.16200000000000001</v>
      </c>
      <c r="N147">
        <v>0.16200000000000001</v>
      </c>
      <c r="O147" s="1">
        <v>0</v>
      </c>
      <c r="P147" s="1">
        <v>2.9999999999999997E-4</v>
      </c>
      <c r="Q147" s="1" t="e">
        <f>ABS(P147/O147)</f>
        <v>#DIV/0!</v>
      </c>
      <c r="S147" t="s">
        <v>7</v>
      </c>
      <c r="T147">
        <v>0.8</v>
      </c>
      <c r="U147">
        <v>0.2</v>
      </c>
      <c r="V147">
        <v>0.16200000000000001</v>
      </c>
      <c r="W147">
        <v>0.16200000000000001</v>
      </c>
      <c r="X147" s="1">
        <v>0</v>
      </c>
      <c r="Y147" s="1">
        <v>8.9999999999999998E-4</v>
      </c>
      <c r="Z147" s="1" t="e">
        <f>ABS(Y147/X147)</f>
        <v>#DIV/0!</v>
      </c>
      <c r="AB147" t="s">
        <v>7</v>
      </c>
      <c r="AC147">
        <v>0.8</v>
      </c>
      <c r="AD147">
        <v>0.2</v>
      </c>
      <c r="AE147">
        <v>0.16200000000000001</v>
      </c>
      <c r="AF147">
        <v>0.16200000000000001</v>
      </c>
      <c r="AG147" s="1">
        <v>0</v>
      </c>
      <c r="AH147" s="1">
        <v>5.0000000000000001E-4</v>
      </c>
      <c r="AI147" s="1" t="e">
        <f>ABS(AH147/AG147)</f>
        <v>#DIV/0!</v>
      </c>
      <c r="AK147" t="s">
        <v>7</v>
      </c>
      <c r="AL147">
        <v>0.8</v>
      </c>
      <c r="AM147">
        <v>0.2</v>
      </c>
      <c r="AN147">
        <v>0.16200000000000001</v>
      </c>
      <c r="AO147">
        <v>0.16200000000000001</v>
      </c>
      <c r="AP147" s="1">
        <v>0</v>
      </c>
      <c r="AQ147" s="1">
        <v>5.0000000000000001E-4</v>
      </c>
      <c r="AR147" s="1" t="e">
        <f>ABS(AQ147/AP147)</f>
        <v>#DIV/0!</v>
      </c>
      <c r="AT147" s="13">
        <f t="shared" ref="AT147:AT163" si="48">STDEV(AO147,AF147,W147,N147,E147)/ AVERAGE(AO147,AF147,W147,N147,E147)</f>
        <v>0</v>
      </c>
      <c r="AU147" s="8">
        <f>( D147 - AVERAGE(AO147,AF147,W147,N147,E147))/ D147</f>
        <v>0</v>
      </c>
    </row>
    <row r="148" spans="1:47" x14ac:dyDescent="0.35">
      <c r="A148" s="17" t="s">
        <v>7</v>
      </c>
      <c r="B148">
        <v>4</v>
      </c>
      <c r="C148">
        <v>0.2</v>
      </c>
      <c r="D148">
        <v>2.2699999999999999E-3</v>
      </c>
      <c r="E148">
        <v>2.2599999999999999E-3</v>
      </c>
      <c r="F148" s="1">
        <v>2E-3</v>
      </c>
      <c r="G148" s="1">
        <v>3.2000000000000002E-3</v>
      </c>
      <c r="H148" s="1">
        <f t="shared" ref="H148:H164" si="49">ABS(G148/F148)</f>
        <v>1.6</v>
      </c>
      <c r="J148" t="s">
        <v>7</v>
      </c>
      <c r="K148">
        <v>4</v>
      </c>
      <c r="L148">
        <v>0.2</v>
      </c>
      <c r="M148">
        <v>2.2699999999999999E-3</v>
      </c>
      <c r="N148">
        <v>2.2699999999999999E-3</v>
      </c>
      <c r="O148" s="1">
        <v>2E-3</v>
      </c>
      <c r="P148" s="1">
        <v>4.0000000000000002E-4</v>
      </c>
      <c r="Q148" s="1">
        <f t="shared" ref="Q148:Q164" si="50">ABS(P148/O148)</f>
        <v>0.2</v>
      </c>
      <c r="S148" t="s">
        <v>7</v>
      </c>
      <c r="T148">
        <v>4</v>
      </c>
      <c r="U148">
        <v>0.2</v>
      </c>
      <c r="V148">
        <v>2.2699999999999999E-3</v>
      </c>
      <c r="W148">
        <v>2.2599999999999999E-3</v>
      </c>
      <c r="X148" s="1">
        <v>2E-3</v>
      </c>
      <c r="Y148" s="1">
        <v>3.5999999999999999E-3</v>
      </c>
      <c r="Z148" s="1">
        <f t="shared" ref="Z148:Z164" si="51">ABS(Y148/X148)</f>
        <v>1.7999999999999998</v>
      </c>
      <c r="AB148" t="s">
        <v>7</v>
      </c>
      <c r="AC148">
        <v>4</v>
      </c>
      <c r="AD148">
        <v>0.2</v>
      </c>
      <c r="AE148">
        <v>2.2699999999999999E-3</v>
      </c>
      <c r="AF148">
        <v>2.2599999999999999E-3</v>
      </c>
      <c r="AG148" s="1">
        <v>2E-3</v>
      </c>
      <c r="AH148" s="1">
        <v>2.7000000000000001E-3</v>
      </c>
      <c r="AI148" s="1">
        <f t="shared" ref="AI148:AI164" si="52">ABS(AH148/AG148)</f>
        <v>1.35</v>
      </c>
      <c r="AK148" t="s">
        <v>7</v>
      </c>
      <c r="AL148">
        <v>4</v>
      </c>
      <c r="AM148">
        <v>0.2</v>
      </c>
      <c r="AN148">
        <v>2.2699999999999999E-3</v>
      </c>
      <c r="AO148">
        <v>2.2599999999999999E-3</v>
      </c>
      <c r="AP148" s="1">
        <v>2E-3</v>
      </c>
      <c r="AQ148" s="1">
        <v>2.7000000000000001E-3</v>
      </c>
      <c r="AR148" s="1">
        <f t="shared" ref="AR148:AR164" si="53">ABS(AQ148/AP148)</f>
        <v>1.35</v>
      </c>
      <c r="AT148" s="13">
        <f t="shared" si="48"/>
        <v>1.9770715981430554E-3</v>
      </c>
      <c r="AU148" s="8">
        <f t="shared" ref="AU148:AU164" si="54">( D148 - AVERAGE(AO148,AF148,W148,N148,E148))/ D148</f>
        <v>3.5242290748899539E-3</v>
      </c>
    </row>
    <row r="149" spans="1:47" x14ac:dyDescent="0.35">
      <c r="A149" s="17" t="s">
        <v>7</v>
      </c>
      <c r="B149">
        <v>8</v>
      </c>
      <c r="C149">
        <v>0.2</v>
      </c>
      <c r="D149">
        <v>1.2999999999999999E-5</v>
      </c>
      <c r="E149">
        <v>1.33E-5</v>
      </c>
      <c r="F149" s="1">
        <v>4.7E-2</v>
      </c>
      <c r="G149" s="1">
        <v>-2.0799999999999999E-2</v>
      </c>
      <c r="H149" s="1">
        <f t="shared" si="49"/>
        <v>0.44255319148936167</v>
      </c>
      <c r="J149" t="s">
        <v>7</v>
      </c>
      <c r="K149">
        <v>8</v>
      </c>
      <c r="L149">
        <v>0.2</v>
      </c>
      <c r="M149">
        <v>1.2999999999999999E-5</v>
      </c>
      <c r="N149">
        <v>1.3499999999999999E-5</v>
      </c>
      <c r="O149" s="1">
        <v>4.7E-2</v>
      </c>
      <c r="P149" s="1">
        <v>-3.5400000000000001E-2</v>
      </c>
      <c r="Q149" s="1">
        <f t="shared" si="50"/>
        <v>0.7531914893617021</v>
      </c>
      <c r="S149" t="s">
        <v>7</v>
      </c>
      <c r="T149">
        <v>8</v>
      </c>
      <c r="U149">
        <v>0.2</v>
      </c>
      <c r="V149">
        <v>1.2999999999999999E-5</v>
      </c>
      <c r="W149">
        <v>1.2799999999999999E-5</v>
      </c>
      <c r="X149" s="1">
        <v>4.7E-2</v>
      </c>
      <c r="Y149" s="1">
        <v>1.23E-2</v>
      </c>
      <c r="Z149" s="1">
        <f t="shared" si="51"/>
        <v>0.26170212765957446</v>
      </c>
      <c r="AB149" t="s">
        <v>7</v>
      </c>
      <c r="AC149">
        <v>8</v>
      </c>
      <c r="AD149">
        <v>0.2</v>
      </c>
      <c r="AE149">
        <v>1.2999999999999999E-5</v>
      </c>
      <c r="AF149">
        <v>1.31E-5</v>
      </c>
      <c r="AG149" s="1">
        <v>4.7E-2</v>
      </c>
      <c r="AH149" s="1">
        <v>-1.0800000000000001E-2</v>
      </c>
      <c r="AI149" s="1">
        <f t="shared" si="52"/>
        <v>0.22978723404255319</v>
      </c>
      <c r="AK149" t="s">
        <v>7</v>
      </c>
      <c r="AL149">
        <v>8</v>
      </c>
      <c r="AM149">
        <v>0.2</v>
      </c>
      <c r="AN149">
        <v>1.2999999999999999E-5</v>
      </c>
      <c r="AO149">
        <v>1.31E-5</v>
      </c>
      <c r="AP149" s="1">
        <v>4.7E-2</v>
      </c>
      <c r="AQ149" s="1">
        <v>-1.0800000000000001E-2</v>
      </c>
      <c r="AR149" s="1">
        <f t="shared" si="53"/>
        <v>0.22978723404255319</v>
      </c>
      <c r="AT149" s="13">
        <f t="shared" si="48"/>
        <v>1.9815204879035406E-2</v>
      </c>
      <c r="AU149" s="8">
        <f t="shared" si="54"/>
        <v>-1.2307692307692322E-2</v>
      </c>
    </row>
    <row r="150" spans="1:47" x14ac:dyDescent="0.35">
      <c r="A150" s="17" t="s">
        <v>8</v>
      </c>
      <c r="B150">
        <v>0.8</v>
      </c>
      <c r="C150">
        <v>0.2</v>
      </c>
      <c r="D150">
        <v>9.6599999999999995E-4</v>
      </c>
      <c r="E150">
        <v>9.9400000000000009E-4</v>
      </c>
      <c r="F150" s="1">
        <v>2.3E-2</v>
      </c>
      <c r="G150" s="1">
        <v>-2.8799999999999999E-2</v>
      </c>
      <c r="H150" s="1">
        <f t="shared" si="49"/>
        <v>1.2521739130434781</v>
      </c>
      <c r="J150" t="s">
        <v>8</v>
      </c>
      <c r="K150">
        <v>0.8</v>
      </c>
      <c r="L150">
        <v>0.2</v>
      </c>
      <c r="M150">
        <v>9.6599999999999995E-4</v>
      </c>
      <c r="N150">
        <v>1.01E-3</v>
      </c>
      <c r="O150" s="1">
        <v>2.3E-2</v>
      </c>
      <c r="P150" s="1">
        <v>-4.3099999999999999E-2</v>
      </c>
      <c r="Q150" s="1">
        <f t="shared" si="50"/>
        <v>1.8739130434782609</v>
      </c>
      <c r="S150" t="s">
        <v>8</v>
      </c>
      <c r="T150">
        <v>0.8</v>
      </c>
      <c r="U150">
        <v>0.2</v>
      </c>
      <c r="V150">
        <v>9.6599999999999995E-4</v>
      </c>
      <c r="W150">
        <v>9.990000000000001E-4</v>
      </c>
      <c r="X150" s="1">
        <v>2.3E-2</v>
      </c>
      <c r="Y150" s="1">
        <v>-3.4599999999999999E-2</v>
      </c>
      <c r="Z150" s="1">
        <f t="shared" si="51"/>
        <v>1.5043478260869565</v>
      </c>
      <c r="AB150" t="s">
        <v>8</v>
      </c>
      <c r="AC150">
        <v>0.8</v>
      </c>
      <c r="AD150">
        <v>0.2</v>
      </c>
      <c r="AE150">
        <v>9.6599999999999995E-4</v>
      </c>
      <c r="AF150">
        <v>1.0200000000000001E-3</v>
      </c>
      <c r="AG150" s="1">
        <v>2.3E-2</v>
      </c>
      <c r="AH150" s="1">
        <v>-5.2999999999999999E-2</v>
      </c>
      <c r="AI150" s="1">
        <f t="shared" si="52"/>
        <v>2.3043478260869565</v>
      </c>
      <c r="AK150" t="s">
        <v>8</v>
      </c>
      <c r="AL150">
        <v>0.8</v>
      </c>
      <c r="AM150">
        <v>0.2</v>
      </c>
      <c r="AN150">
        <v>9.6599999999999995E-4</v>
      </c>
      <c r="AO150">
        <v>1.0200000000000001E-3</v>
      </c>
      <c r="AP150" s="1">
        <v>2.3E-2</v>
      </c>
      <c r="AQ150" s="1">
        <v>-5.2999999999999999E-2</v>
      </c>
      <c r="AR150" s="1">
        <f t="shared" si="53"/>
        <v>2.3043478260869565</v>
      </c>
      <c r="AT150" s="14">
        <f t="shared" si="48"/>
        <v>1.1806445089513527E-2</v>
      </c>
      <c r="AU150" s="9">
        <f t="shared" si="54"/>
        <v>-4.4099378881987755E-2</v>
      </c>
    </row>
    <row r="151" spans="1:47" x14ac:dyDescent="0.35">
      <c r="A151" s="17" t="s">
        <v>8</v>
      </c>
      <c r="B151">
        <v>4</v>
      </c>
      <c r="C151">
        <v>0.2</v>
      </c>
      <c r="D151">
        <v>1.3699999999999999E-5</v>
      </c>
      <c r="E151">
        <v>1.3699999999999999E-5</v>
      </c>
      <c r="F151" s="1">
        <v>6.3E-2</v>
      </c>
      <c r="G151" s="1">
        <v>-2.2000000000000001E-3</v>
      </c>
      <c r="H151" s="1">
        <f t="shared" si="49"/>
        <v>3.4920634920634921E-2</v>
      </c>
      <c r="J151" t="s">
        <v>8</v>
      </c>
      <c r="K151">
        <v>4</v>
      </c>
      <c r="L151">
        <v>0.2</v>
      </c>
      <c r="M151">
        <v>1.3699999999999999E-5</v>
      </c>
      <c r="N151">
        <v>1.2999999999999999E-5</v>
      </c>
      <c r="O151" s="1">
        <v>6.3E-2</v>
      </c>
      <c r="P151" s="1">
        <v>5.1799999999999999E-2</v>
      </c>
      <c r="Q151" s="1">
        <f t="shared" si="50"/>
        <v>0.82222222222222219</v>
      </c>
      <c r="S151" t="s">
        <v>8</v>
      </c>
      <c r="T151">
        <v>4</v>
      </c>
      <c r="U151">
        <v>0.2</v>
      </c>
      <c r="V151">
        <v>1.3699999999999999E-5</v>
      </c>
      <c r="W151">
        <v>1.3200000000000001E-5</v>
      </c>
      <c r="X151" s="1">
        <v>6.3E-2</v>
      </c>
      <c r="Y151" s="1">
        <v>3.7999999999999999E-2</v>
      </c>
      <c r="Z151" s="1">
        <f t="shared" si="51"/>
        <v>0.60317460317460314</v>
      </c>
      <c r="AB151" t="s">
        <v>8</v>
      </c>
      <c r="AC151">
        <v>4</v>
      </c>
      <c r="AD151">
        <v>0.2</v>
      </c>
      <c r="AE151">
        <v>1.3699999999999999E-5</v>
      </c>
      <c r="AF151">
        <v>1.66E-5</v>
      </c>
      <c r="AG151" s="1">
        <v>6.3E-2</v>
      </c>
      <c r="AH151" s="1">
        <v>-0.21390000000000001</v>
      </c>
      <c r="AI151" s="1">
        <f t="shared" si="52"/>
        <v>3.3952380952380952</v>
      </c>
      <c r="AK151" t="s">
        <v>8</v>
      </c>
      <c r="AL151">
        <v>4</v>
      </c>
      <c r="AM151">
        <v>0.2</v>
      </c>
      <c r="AN151">
        <v>1.3699999999999999E-5</v>
      </c>
      <c r="AO151">
        <v>1.66E-5</v>
      </c>
      <c r="AP151" s="1">
        <v>6.3E-2</v>
      </c>
      <c r="AQ151" s="1">
        <v>-0.21390000000000001</v>
      </c>
      <c r="AR151" s="1">
        <f t="shared" si="53"/>
        <v>3.3952380952380952</v>
      </c>
      <c r="AT151" s="14">
        <f t="shared" si="48"/>
        <v>0.12485476562631613</v>
      </c>
      <c r="AU151" s="9">
        <f t="shared" si="54"/>
        <v>-6.7153284671532948E-2</v>
      </c>
    </row>
    <row r="152" spans="1:47" x14ac:dyDescent="0.35">
      <c r="A152" s="17" t="s">
        <v>8</v>
      </c>
      <c r="B152">
        <v>8</v>
      </c>
      <c r="C152">
        <v>0.2</v>
      </c>
      <c r="D152">
        <v>7.2800000000000003E-8</v>
      </c>
      <c r="E152">
        <v>2.9999999999999997E-8</v>
      </c>
      <c r="F152" s="1">
        <v>0.187</v>
      </c>
      <c r="G152" s="1">
        <v>0.58789999999999998</v>
      </c>
      <c r="H152" s="1">
        <f t="shared" si="49"/>
        <v>3.1438502673796789</v>
      </c>
      <c r="J152" t="s">
        <v>8</v>
      </c>
      <c r="K152">
        <v>8</v>
      </c>
      <c r="L152">
        <v>0.2</v>
      </c>
      <c r="M152">
        <v>7.2800000000000003E-8</v>
      </c>
      <c r="N152">
        <v>1E-8</v>
      </c>
      <c r="O152" s="1">
        <v>0.187</v>
      </c>
      <c r="P152" s="1">
        <v>0.86260000000000003</v>
      </c>
      <c r="Q152" s="1">
        <f t="shared" si="50"/>
        <v>4.6128342245989309</v>
      </c>
      <c r="S152" t="s">
        <v>8</v>
      </c>
      <c r="T152">
        <v>8</v>
      </c>
      <c r="U152">
        <v>0.2</v>
      </c>
      <c r="V152">
        <v>7.2800000000000003E-8</v>
      </c>
      <c r="W152">
        <v>1.6999999999999999E-7</v>
      </c>
      <c r="X152" s="1">
        <v>0.187</v>
      </c>
      <c r="Y152" s="1">
        <v>-1.3351999999999999</v>
      </c>
      <c r="Z152" s="1">
        <f t="shared" si="51"/>
        <v>7.1401069518716573</v>
      </c>
      <c r="AB152" t="s">
        <v>8</v>
      </c>
      <c r="AC152">
        <v>8</v>
      </c>
      <c r="AD152">
        <v>0.2</v>
      </c>
      <c r="AE152">
        <v>7.2800000000000003E-8</v>
      </c>
      <c r="AF152">
        <v>4.0000000000000001E-8</v>
      </c>
      <c r="AG152" s="1">
        <v>0.187</v>
      </c>
      <c r="AH152" s="1">
        <v>0.45050000000000001</v>
      </c>
      <c r="AI152" s="1">
        <f t="shared" si="52"/>
        <v>2.4090909090909092</v>
      </c>
      <c r="AK152" t="s">
        <v>8</v>
      </c>
      <c r="AL152">
        <v>8</v>
      </c>
      <c r="AM152">
        <v>0.2</v>
      </c>
      <c r="AN152">
        <v>7.2800000000000003E-8</v>
      </c>
      <c r="AO152">
        <v>4.0000000000000001E-8</v>
      </c>
      <c r="AP152" s="1">
        <v>0.187</v>
      </c>
      <c r="AQ152" s="1">
        <v>0.45050000000000001</v>
      </c>
      <c r="AR152" s="1">
        <f t="shared" si="53"/>
        <v>2.4090909090909092</v>
      </c>
      <c r="AT152" s="14">
        <f t="shared" si="48"/>
        <v>1.0999405453611435</v>
      </c>
      <c r="AU152" s="9">
        <f t="shared" si="54"/>
        <v>0.20329670329670338</v>
      </c>
    </row>
    <row r="153" spans="1:47" x14ac:dyDescent="0.35">
      <c r="A153" s="17" t="s">
        <v>9</v>
      </c>
      <c r="B153">
        <v>0.8</v>
      </c>
      <c r="C153">
        <v>0.2</v>
      </c>
      <c r="D153">
        <v>5.4700000000000001E-5</v>
      </c>
      <c r="E153">
        <v>6.7000000000000002E-5</v>
      </c>
      <c r="F153" s="1">
        <v>0.06</v>
      </c>
      <c r="G153" s="1">
        <v>-0.2243</v>
      </c>
      <c r="H153" s="1">
        <f t="shared" si="49"/>
        <v>3.7383333333333333</v>
      </c>
      <c r="J153" t="s">
        <v>9</v>
      </c>
      <c r="K153">
        <v>0.8</v>
      </c>
      <c r="L153">
        <v>0.2</v>
      </c>
      <c r="M153">
        <v>5.4700000000000001E-5</v>
      </c>
      <c r="N153">
        <v>5.5399999999999998E-5</v>
      </c>
      <c r="O153" s="1">
        <v>0.06</v>
      </c>
      <c r="P153" s="1">
        <v>-1.35E-2</v>
      </c>
      <c r="Q153" s="1">
        <f t="shared" si="50"/>
        <v>0.22500000000000001</v>
      </c>
      <c r="S153" t="s">
        <v>9</v>
      </c>
      <c r="T153">
        <v>0.8</v>
      </c>
      <c r="U153">
        <v>0.2</v>
      </c>
      <c r="V153">
        <v>5.4700000000000001E-5</v>
      </c>
      <c r="W153">
        <v>5.7099999999999999E-5</v>
      </c>
      <c r="X153" s="1">
        <v>0.06</v>
      </c>
      <c r="Y153" s="1">
        <v>-4.41E-2</v>
      </c>
      <c r="Z153" s="1">
        <f t="shared" si="51"/>
        <v>0.73499999999999999</v>
      </c>
      <c r="AB153" t="s">
        <v>9</v>
      </c>
      <c r="AC153">
        <v>0.8</v>
      </c>
      <c r="AD153">
        <v>0.2</v>
      </c>
      <c r="AE153">
        <v>5.4700000000000001E-5</v>
      </c>
      <c r="AF153">
        <v>5.2500000000000002E-5</v>
      </c>
      <c r="AG153" s="1">
        <v>0.06</v>
      </c>
      <c r="AH153" s="1">
        <v>4.1000000000000002E-2</v>
      </c>
      <c r="AI153" s="1">
        <f t="shared" si="52"/>
        <v>0.68333333333333335</v>
      </c>
      <c r="AK153" t="s">
        <v>9</v>
      </c>
      <c r="AL153">
        <v>0.8</v>
      </c>
      <c r="AM153">
        <v>0.2</v>
      </c>
      <c r="AN153">
        <v>5.4700000000000001E-5</v>
      </c>
      <c r="AO153">
        <v>5.2500000000000002E-5</v>
      </c>
      <c r="AP153" s="1">
        <v>0.06</v>
      </c>
      <c r="AQ153" s="1">
        <v>4.1000000000000002E-2</v>
      </c>
      <c r="AR153" s="1">
        <f t="shared" si="53"/>
        <v>0.68333333333333335</v>
      </c>
      <c r="AT153" s="12">
        <f t="shared" si="48"/>
        <v>0.10508872544704936</v>
      </c>
      <c r="AU153" s="7">
        <f t="shared" si="54"/>
        <v>-4.0219378427788041E-2</v>
      </c>
    </row>
    <row r="154" spans="1:47" x14ac:dyDescent="0.35">
      <c r="A154" s="17" t="s">
        <v>9</v>
      </c>
      <c r="B154">
        <v>4</v>
      </c>
      <c r="C154">
        <v>0.2</v>
      </c>
      <c r="D154">
        <v>6.2399999999999998E-7</v>
      </c>
      <c r="E154">
        <v>9.2999999999999999E-7</v>
      </c>
      <c r="F154" s="1">
        <v>0.35499999999999998</v>
      </c>
      <c r="G154" s="1">
        <v>-0.4904</v>
      </c>
      <c r="H154" s="1">
        <f t="shared" si="49"/>
        <v>1.3814084507042255</v>
      </c>
      <c r="J154" t="s">
        <v>9</v>
      </c>
      <c r="K154">
        <v>4</v>
      </c>
      <c r="L154">
        <v>0.2</v>
      </c>
      <c r="M154">
        <v>6.2399999999999998E-7</v>
      </c>
      <c r="N154">
        <v>9.2999999999999999E-7</v>
      </c>
      <c r="O154" s="1">
        <v>0.35499999999999998</v>
      </c>
      <c r="P154" s="1">
        <v>-0.4904</v>
      </c>
      <c r="Q154" s="1">
        <f t="shared" si="50"/>
        <v>1.3814084507042255</v>
      </c>
      <c r="S154" t="s">
        <v>9</v>
      </c>
      <c r="T154">
        <v>4</v>
      </c>
      <c r="U154">
        <v>0.2</v>
      </c>
      <c r="V154">
        <v>6.2399999999999998E-7</v>
      </c>
      <c r="W154">
        <v>3.7E-7</v>
      </c>
      <c r="X154" s="1">
        <v>0.35499999999999998</v>
      </c>
      <c r="Y154" s="1">
        <v>0.40710000000000002</v>
      </c>
      <c r="Z154" s="1">
        <f t="shared" si="51"/>
        <v>1.1467605633802818</v>
      </c>
      <c r="AB154" t="s">
        <v>9</v>
      </c>
      <c r="AC154">
        <v>4</v>
      </c>
      <c r="AD154">
        <v>0.2</v>
      </c>
      <c r="AE154">
        <v>6.2399999999999998E-7</v>
      </c>
      <c r="AF154">
        <v>1.6700000000000001E-6</v>
      </c>
      <c r="AG154" s="1">
        <v>0.35499999999999998</v>
      </c>
      <c r="AH154" s="1">
        <v>-1.6762999999999999</v>
      </c>
      <c r="AI154" s="1">
        <f t="shared" si="52"/>
        <v>4.7219718309859156</v>
      </c>
      <c r="AK154" t="s">
        <v>9</v>
      </c>
      <c r="AL154">
        <v>4</v>
      </c>
      <c r="AM154">
        <v>0.2</v>
      </c>
      <c r="AN154">
        <v>6.2399999999999998E-7</v>
      </c>
      <c r="AO154">
        <v>1.6700000000000001E-6</v>
      </c>
      <c r="AP154" s="1">
        <v>0.35499999999999998</v>
      </c>
      <c r="AQ154" s="1">
        <v>-1.6762999999999999</v>
      </c>
      <c r="AR154" s="1">
        <f t="shared" si="53"/>
        <v>4.7219718309859156</v>
      </c>
      <c r="AT154" s="12">
        <f t="shared" si="48"/>
        <v>0.49970256972268612</v>
      </c>
      <c r="AU154" s="7">
        <f t="shared" si="54"/>
        <v>-0.78525641025641002</v>
      </c>
    </row>
    <row r="155" spans="1:47" x14ac:dyDescent="0.35">
      <c r="A155" s="17" t="s">
        <v>9</v>
      </c>
      <c r="B155">
        <v>8</v>
      </c>
      <c r="C155">
        <v>0.2</v>
      </c>
      <c r="D155">
        <v>4.0199999999999998E-9</v>
      </c>
      <c r="E155">
        <v>0</v>
      </c>
      <c r="F155" s="1">
        <v>0.248</v>
      </c>
      <c r="G155" s="1">
        <v>1</v>
      </c>
      <c r="H155" s="1">
        <f t="shared" si="49"/>
        <v>4.032258064516129</v>
      </c>
      <c r="J155" t="s">
        <v>9</v>
      </c>
      <c r="K155">
        <v>8</v>
      </c>
      <c r="L155">
        <v>0.2</v>
      </c>
      <c r="M155">
        <v>4.0199999999999998E-9</v>
      </c>
      <c r="N155">
        <v>0</v>
      </c>
      <c r="O155" s="1">
        <v>0.248</v>
      </c>
      <c r="P155" s="1">
        <v>1</v>
      </c>
      <c r="Q155" s="1">
        <f t="shared" si="50"/>
        <v>4.032258064516129</v>
      </c>
      <c r="S155" t="s">
        <v>9</v>
      </c>
      <c r="T155">
        <v>8</v>
      </c>
      <c r="U155">
        <v>0.2</v>
      </c>
      <c r="V155">
        <v>4.0199999999999998E-9</v>
      </c>
      <c r="W155">
        <v>0</v>
      </c>
      <c r="X155" s="1">
        <v>0.248</v>
      </c>
      <c r="Y155" s="1">
        <v>1</v>
      </c>
      <c r="Z155" s="1">
        <f t="shared" si="51"/>
        <v>4.032258064516129</v>
      </c>
      <c r="AB155" t="s">
        <v>9</v>
      </c>
      <c r="AC155">
        <v>8</v>
      </c>
      <c r="AD155">
        <v>0.2</v>
      </c>
      <c r="AE155">
        <v>4.0199999999999998E-9</v>
      </c>
      <c r="AF155">
        <v>0</v>
      </c>
      <c r="AG155" s="1">
        <v>0.248</v>
      </c>
      <c r="AH155" s="1">
        <v>1</v>
      </c>
      <c r="AI155" s="1">
        <f t="shared" si="52"/>
        <v>4.032258064516129</v>
      </c>
      <c r="AK155" t="s">
        <v>9</v>
      </c>
      <c r="AL155">
        <v>8</v>
      </c>
      <c r="AM155">
        <v>0.2</v>
      </c>
      <c r="AN155">
        <v>4.0199999999999998E-9</v>
      </c>
      <c r="AO155">
        <v>0</v>
      </c>
      <c r="AP155" s="1">
        <v>0.248</v>
      </c>
      <c r="AQ155" s="1">
        <v>1</v>
      </c>
      <c r="AR155" s="1">
        <f t="shared" si="53"/>
        <v>4.032258064516129</v>
      </c>
      <c r="AT155" s="12" t="e">
        <f t="shared" si="48"/>
        <v>#DIV/0!</v>
      </c>
      <c r="AU155" s="7">
        <f t="shared" si="54"/>
        <v>1</v>
      </c>
    </row>
    <row r="156" spans="1:47" x14ac:dyDescent="0.35">
      <c r="A156" s="17" t="s">
        <v>7</v>
      </c>
      <c r="B156">
        <v>0.1</v>
      </c>
      <c r="C156">
        <v>0.9</v>
      </c>
      <c r="D156">
        <v>0.41299999999999998</v>
      </c>
      <c r="E156">
        <v>0.41399999999999998</v>
      </c>
      <c r="F156" s="1">
        <v>1E-3</v>
      </c>
      <c r="G156" s="1">
        <v>-1.4E-3</v>
      </c>
      <c r="H156" s="1">
        <f t="shared" si="49"/>
        <v>1.4</v>
      </c>
      <c r="J156" t="s">
        <v>7</v>
      </c>
      <c r="K156">
        <v>0.1</v>
      </c>
      <c r="L156">
        <v>0.9</v>
      </c>
      <c r="M156">
        <v>0.41299999999999998</v>
      </c>
      <c r="N156">
        <v>0.41399999999999998</v>
      </c>
      <c r="O156" s="1">
        <v>1E-3</v>
      </c>
      <c r="P156" s="1">
        <v>-1.5E-3</v>
      </c>
      <c r="Q156" s="1">
        <f t="shared" si="50"/>
        <v>1.5</v>
      </c>
      <c r="S156" t="s">
        <v>7</v>
      </c>
      <c r="T156">
        <v>0.1</v>
      </c>
      <c r="U156">
        <v>0.9</v>
      </c>
      <c r="V156">
        <v>0.41299999999999998</v>
      </c>
      <c r="W156">
        <v>0.41399999999999998</v>
      </c>
      <c r="X156" s="1">
        <v>1E-3</v>
      </c>
      <c r="Y156" s="1">
        <v>-1.2999999999999999E-3</v>
      </c>
      <c r="Z156" s="1">
        <f t="shared" si="51"/>
        <v>1.2999999999999998</v>
      </c>
      <c r="AB156" t="s">
        <v>7</v>
      </c>
      <c r="AC156">
        <v>0.1</v>
      </c>
      <c r="AD156">
        <v>0.9</v>
      </c>
      <c r="AE156">
        <v>0.41299999999999998</v>
      </c>
      <c r="AF156">
        <v>0.41399999999999998</v>
      </c>
      <c r="AG156" s="1">
        <v>1E-3</v>
      </c>
      <c r="AH156" s="1">
        <v>-1.5E-3</v>
      </c>
      <c r="AI156" s="1">
        <f t="shared" si="52"/>
        <v>1.5</v>
      </c>
      <c r="AK156" t="s">
        <v>7</v>
      </c>
      <c r="AL156">
        <v>0.1</v>
      </c>
      <c r="AM156">
        <v>0.9</v>
      </c>
      <c r="AN156">
        <v>0.41299999999999998</v>
      </c>
      <c r="AO156">
        <v>0.41399999999999998</v>
      </c>
      <c r="AP156" s="1">
        <v>1E-3</v>
      </c>
      <c r="AQ156" s="1">
        <v>-1.5E-3</v>
      </c>
      <c r="AR156" s="1">
        <f t="shared" si="53"/>
        <v>1.5</v>
      </c>
      <c r="AT156" s="13">
        <f t="shared" si="48"/>
        <v>0</v>
      </c>
      <c r="AU156" s="8">
        <f t="shared" si="54"/>
        <v>-2.421307506053271E-3</v>
      </c>
    </row>
    <row r="157" spans="1:47" x14ac:dyDescent="0.35">
      <c r="A157" s="17" t="s">
        <v>7</v>
      </c>
      <c r="B157">
        <v>0.5</v>
      </c>
      <c r="C157">
        <v>0.9</v>
      </c>
      <c r="D157">
        <v>0.187</v>
      </c>
      <c r="E157">
        <v>0.184</v>
      </c>
      <c r="F157" s="1">
        <v>5.0000000000000001E-3</v>
      </c>
      <c r="G157" s="1">
        <v>1.6500000000000001E-2</v>
      </c>
      <c r="H157" s="1">
        <f t="shared" si="49"/>
        <v>3.3000000000000003</v>
      </c>
      <c r="J157" t="s">
        <v>7</v>
      </c>
      <c r="K157">
        <v>0.5</v>
      </c>
      <c r="L157">
        <v>0.9</v>
      </c>
      <c r="M157">
        <v>0.187</v>
      </c>
      <c r="N157">
        <v>0.184</v>
      </c>
      <c r="O157" s="1">
        <v>5.0000000000000001E-3</v>
      </c>
      <c r="P157" s="1">
        <v>1.66E-2</v>
      </c>
      <c r="Q157" s="1">
        <f t="shared" si="50"/>
        <v>3.32</v>
      </c>
      <c r="S157" t="s">
        <v>7</v>
      </c>
      <c r="T157">
        <v>0.5</v>
      </c>
      <c r="U157">
        <v>0.9</v>
      </c>
      <c r="V157">
        <v>0.187</v>
      </c>
      <c r="W157">
        <v>0.184</v>
      </c>
      <c r="X157" s="1">
        <v>5.0000000000000001E-3</v>
      </c>
      <c r="Y157" s="1">
        <v>1.61E-2</v>
      </c>
      <c r="Z157" s="1">
        <f t="shared" si="51"/>
        <v>3.2199999999999998</v>
      </c>
      <c r="AB157" t="s">
        <v>7</v>
      </c>
      <c r="AC157">
        <v>0.5</v>
      </c>
      <c r="AD157">
        <v>0.9</v>
      </c>
      <c r="AE157">
        <v>0.187</v>
      </c>
      <c r="AF157">
        <v>0.184</v>
      </c>
      <c r="AG157" s="1">
        <v>5.0000000000000001E-3</v>
      </c>
      <c r="AH157" s="1">
        <v>1.6500000000000001E-2</v>
      </c>
      <c r="AI157" s="1">
        <f t="shared" si="52"/>
        <v>3.3000000000000003</v>
      </c>
      <c r="AK157" t="s">
        <v>7</v>
      </c>
      <c r="AL157">
        <v>0.5</v>
      </c>
      <c r="AM157">
        <v>0.9</v>
      </c>
      <c r="AN157">
        <v>0.187</v>
      </c>
      <c r="AO157">
        <v>0.184</v>
      </c>
      <c r="AP157" s="1">
        <v>5.0000000000000001E-3</v>
      </c>
      <c r="AQ157" s="1">
        <v>1.6500000000000001E-2</v>
      </c>
      <c r="AR157" s="1">
        <f t="shared" si="53"/>
        <v>3.3000000000000003</v>
      </c>
      <c r="AT157" s="13">
        <f t="shared" si="48"/>
        <v>0</v>
      </c>
      <c r="AU157" s="8">
        <f t="shared" si="54"/>
        <v>1.6042780748663117E-2</v>
      </c>
    </row>
    <row r="158" spans="1:47" x14ac:dyDescent="0.35">
      <c r="A158" s="17" t="s">
        <v>7</v>
      </c>
      <c r="B158">
        <v>1</v>
      </c>
      <c r="C158">
        <v>0.9</v>
      </c>
      <c r="D158">
        <v>6.8500000000000005E-2</v>
      </c>
      <c r="E158">
        <v>6.6199999999999995E-2</v>
      </c>
      <c r="F158" s="1">
        <v>0.01</v>
      </c>
      <c r="G158" s="1">
        <v>3.3799999999999997E-2</v>
      </c>
      <c r="H158" s="1">
        <f t="shared" si="49"/>
        <v>3.3799999999999994</v>
      </c>
      <c r="J158" t="s">
        <v>7</v>
      </c>
      <c r="K158">
        <v>1</v>
      </c>
      <c r="L158">
        <v>0.9</v>
      </c>
      <c r="M158">
        <v>6.8500000000000005E-2</v>
      </c>
      <c r="N158">
        <v>6.6199999999999995E-2</v>
      </c>
      <c r="O158" s="1">
        <v>0.01</v>
      </c>
      <c r="P158" s="1">
        <v>3.4000000000000002E-2</v>
      </c>
      <c r="Q158" s="1">
        <f t="shared" si="50"/>
        <v>3.4000000000000004</v>
      </c>
      <c r="S158" t="s">
        <v>7</v>
      </c>
      <c r="T158">
        <v>1</v>
      </c>
      <c r="U158">
        <v>0.9</v>
      </c>
      <c r="V158">
        <v>6.8500000000000005E-2</v>
      </c>
      <c r="W158">
        <v>6.6199999999999995E-2</v>
      </c>
      <c r="X158" s="1">
        <v>0.01</v>
      </c>
      <c r="Y158" s="1">
        <v>3.3399999999999999E-2</v>
      </c>
      <c r="Z158" s="1">
        <f t="shared" si="51"/>
        <v>3.34</v>
      </c>
      <c r="AB158" t="s">
        <v>7</v>
      </c>
      <c r="AC158">
        <v>1</v>
      </c>
      <c r="AD158">
        <v>0.9</v>
      </c>
      <c r="AE158">
        <v>6.8500000000000005E-2</v>
      </c>
      <c r="AF158">
        <v>6.6199999999999995E-2</v>
      </c>
      <c r="AG158" s="1">
        <v>0.01</v>
      </c>
      <c r="AH158" s="1">
        <v>3.3799999999999997E-2</v>
      </c>
      <c r="AI158" s="1">
        <f t="shared" si="52"/>
        <v>3.3799999999999994</v>
      </c>
      <c r="AK158" t="s">
        <v>7</v>
      </c>
      <c r="AL158">
        <v>1</v>
      </c>
      <c r="AM158">
        <v>0.9</v>
      </c>
      <c r="AN158">
        <v>6.8500000000000005E-2</v>
      </c>
      <c r="AO158">
        <v>6.6199999999999995E-2</v>
      </c>
      <c r="AP158" s="1">
        <v>0.01</v>
      </c>
      <c r="AQ158" s="1">
        <v>3.3799999999999997E-2</v>
      </c>
      <c r="AR158" s="1">
        <f t="shared" si="53"/>
        <v>3.3799999999999994</v>
      </c>
      <c r="AT158" s="13">
        <f t="shared" si="48"/>
        <v>0</v>
      </c>
      <c r="AU158" s="8">
        <f t="shared" si="54"/>
        <v>3.3576642335766571E-2</v>
      </c>
    </row>
    <row r="159" spans="1:47" x14ac:dyDescent="0.35">
      <c r="A159" s="17" t="s">
        <v>8</v>
      </c>
      <c r="B159">
        <v>0.1</v>
      </c>
      <c r="C159">
        <v>0.9</v>
      </c>
      <c r="D159">
        <v>9.3100000000000002E-2</v>
      </c>
      <c r="E159">
        <v>9.8900000000000002E-2</v>
      </c>
      <c r="F159" s="1">
        <v>2.1000000000000001E-2</v>
      </c>
      <c r="G159" s="1">
        <v>-6.2399999999999997E-2</v>
      </c>
      <c r="H159" s="1">
        <f t="shared" si="49"/>
        <v>2.9714285714285711</v>
      </c>
      <c r="J159" t="s">
        <v>8</v>
      </c>
      <c r="K159">
        <v>0.1</v>
      </c>
      <c r="L159">
        <v>0.9</v>
      </c>
      <c r="M159">
        <v>9.3100000000000002E-2</v>
      </c>
      <c r="N159">
        <v>9.8799999999999999E-2</v>
      </c>
      <c r="O159" s="1">
        <v>2.1000000000000001E-2</v>
      </c>
      <c r="P159" s="1">
        <v>-6.1499999999999999E-2</v>
      </c>
      <c r="Q159" s="1">
        <f t="shared" si="50"/>
        <v>2.9285714285714284</v>
      </c>
      <c r="S159" t="s">
        <v>8</v>
      </c>
      <c r="T159">
        <v>0.1</v>
      </c>
      <c r="U159">
        <v>0.9</v>
      </c>
      <c r="V159">
        <v>9.3100000000000002E-2</v>
      </c>
      <c r="W159">
        <v>9.9000000000000005E-2</v>
      </c>
      <c r="X159" s="1">
        <v>2.1000000000000001E-2</v>
      </c>
      <c r="Y159" s="1">
        <v>-6.2799999999999995E-2</v>
      </c>
      <c r="Z159" s="1">
        <f t="shared" si="51"/>
        <v>2.9904761904761901</v>
      </c>
      <c r="AB159" t="s">
        <v>8</v>
      </c>
      <c r="AC159">
        <v>0.1</v>
      </c>
      <c r="AD159">
        <v>0.9</v>
      </c>
      <c r="AE159">
        <v>9.3100000000000002E-2</v>
      </c>
      <c r="AF159">
        <v>9.9099999999999994E-2</v>
      </c>
      <c r="AG159" s="1">
        <v>2.1000000000000001E-2</v>
      </c>
      <c r="AH159" s="1">
        <v>-6.3899999999999998E-2</v>
      </c>
      <c r="AI159" s="1">
        <f t="shared" si="52"/>
        <v>3.0428571428571427</v>
      </c>
      <c r="AK159" t="s">
        <v>8</v>
      </c>
      <c r="AL159">
        <v>0.1</v>
      </c>
      <c r="AM159">
        <v>0.9</v>
      </c>
      <c r="AN159">
        <v>9.3100000000000002E-2</v>
      </c>
      <c r="AO159">
        <v>9.9099999999999994E-2</v>
      </c>
      <c r="AP159" s="1">
        <v>2.1000000000000001E-2</v>
      </c>
      <c r="AQ159" s="1">
        <v>-6.3899999999999998E-2</v>
      </c>
      <c r="AR159" s="1">
        <f t="shared" si="53"/>
        <v>3.0428571428571427</v>
      </c>
      <c r="AT159" s="14">
        <f t="shared" si="48"/>
        <v>1.3172767034153397E-3</v>
      </c>
      <c r="AU159" s="9">
        <f t="shared" si="54"/>
        <v>-6.3157894736842066E-2</v>
      </c>
    </row>
    <row r="160" spans="1:47" x14ac:dyDescent="0.35">
      <c r="A160" s="17" t="s">
        <v>8</v>
      </c>
      <c r="B160">
        <v>0.5</v>
      </c>
      <c r="C160">
        <v>0.9</v>
      </c>
      <c r="D160">
        <v>4.6300000000000001E-2</v>
      </c>
      <c r="E160">
        <v>4.7800000000000002E-2</v>
      </c>
      <c r="F160" s="1">
        <v>1.7000000000000001E-2</v>
      </c>
      <c r="G160" s="1">
        <v>-3.1399999999999997E-2</v>
      </c>
      <c r="H160" s="1">
        <f t="shared" si="49"/>
        <v>1.8470588235294114</v>
      </c>
      <c r="J160" t="s">
        <v>8</v>
      </c>
      <c r="K160">
        <v>0.5</v>
      </c>
      <c r="L160">
        <v>0.9</v>
      </c>
      <c r="M160">
        <v>4.6300000000000001E-2</v>
      </c>
      <c r="N160">
        <v>4.7699999999999999E-2</v>
      </c>
      <c r="O160" s="1">
        <v>1.7000000000000001E-2</v>
      </c>
      <c r="P160" s="1">
        <v>-3.0499999999999999E-2</v>
      </c>
      <c r="Q160" s="1">
        <f t="shared" si="50"/>
        <v>1.7941176470588234</v>
      </c>
      <c r="S160" t="s">
        <v>8</v>
      </c>
      <c r="T160">
        <v>0.5</v>
      </c>
      <c r="U160">
        <v>0.9</v>
      </c>
      <c r="V160">
        <v>4.6300000000000001E-2</v>
      </c>
      <c r="W160">
        <v>4.7800000000000002E-2</v>
      </c>
      <c r="X160" s="1">
        <v>1.7000000000000001E-2</v>
      </c>
      <c r="Y160" s="1">
        <v>-3.1600000000000003E-2</v>
      </c>
      <c r="Z160" s="1">
        <f t="shared" si="51"/>
        <v>1.8588235294117648</v>
      </c>
      <c r="AB160" t="s">
        <v>8</v>
      </c>
      <c r="AC160">
        <v>0.5</v>
      </c>
      <c r="AD160">
        <v>0.9</v>
      </c>
      <c r="AE160">
        <v>4.6300000000000001E-2</v>
      </c>
      <c r="AF160">
        <v>4.7699999999999999E-2</v>
      </c>
      <c r="AG160" s="1">
        <v>1.7000000000000001E-2</v>
      </c>
      <c r="AH160" s="1">
        <v>-3.1099999999999999E-2</v>
      </c>
      <c r="AI160" s="1">
        <f t="shared" si="52"/>
        <v>1.8294117647058821</v>
      </c>
      <c r="AK160" t="s">
        <v>8</v>
      </c>
      <c r="AL160">
        <v>0.5</v>
      </c>
      <c r="AM160">
        <v>0.9</v>
      </c>
      <c r="AN160">
        <v>4.6300000000000001E-2</v>
      </c>
      <c r="AO160">
        <v>4.7699999999999999E-2</v>
      </c>
      <c r="AP160" s="1">
        <v>1.7000000000000001E-2</v>
      </c>
      <c r="AQ160" s="1">
        <v>-3.1099999999999999E-2</v>
      </c>
      <c r="AR160" s="1">
        <f t="shared" si="53"/>
        <v>1.8294117647058821</v>
      </c>
      <c r="AT160" s="14">
        <f t="shared" si="48"/>
        <v>1.1473032205806071E-3</v>
      </c>
      <c r="AU160" s="9">
        <f t="shared" si="54"/>
        <v>-3.1101511879049606E-2</v>
      </c>
    </row>
    <row r="161" spans="1:47" x14ac:dyDescent="0.35">
      <c r="A161" s="17" t="s">
        <v>8</v>
      </c>
      <c r="B161">
        <v>1</v>
      </c>
      <c r="C161">
        <v>0.9</v>
      </c>
      <c r="D161">
        <v>1.6500000000000001E-2</v>
      </c>
      <c r="E161">
        <v>1.66E-2</v>
      </c>
      <c r="F161" s="1">
        <v>1.4E-2</v>
      </c>
      <c r="G161" s="1">
        <v>-3.8999999999999998E-3</v>
      </c>
      <c r="H161" s="1">
        <f t="shared" si="49"/>
        <v>0.27857142857142853</v>
      </c>
      <c r="J161" t="s">
        <v>8</v>
      </c>
      <c r="K161">
        <v>1</v>
      </c>
      <c r="L161">
        <v>0.9</v>
      </c>
      <c r="M161">
        <v>1.6500000000000001E-2</v>
      </c>
      <c r="N161">
        <v>1.66E-2</v>
      </c>
      <c r="O161" s="1">
        <v>1.4E-2</v>
      </c>
      <c r="P161" s="1">
        <v>-7.3000000000000001E-3</v>
      </c>
      <c r="Q161" s="1">
        <f t="shared" si="50"/>
        <v>0.52142857142857146</v>
      </c>
      <c r="S161" t="s">
        <v>8</v>
      </c>
      <c r="T161">
        <v>1</v>
      </c>
      <c r="U161">
        <v>0.9</v>
      </c>
      <c r="V161">
        <v>1.6500000000000001E-2</v>
      </c>
      <c r="W161">
        <v>1.66E-2</v>
      </c>
      <c r="X161" s="1">
        <v>1.4E-2</v>
      </c>
      <c r="Y161" s="1">
        <v>-4.8999999999999998E-3</v>
      </c>
      <c r="Z161" s="1">
        <f t="shared" si="51"/>
        <v>0.35</v>
      </c>
      <c r="AB161" t="s">
        <v>8</v>
      </c>
      <c r="AC161">
        <v>1</v>
      </c>
      <c r="AD161">
        <v>0.9</v>
      </c>
      <c r="AE161">
        <v>1.6500000000000001E-2</v>
      </c>
      <c r="AF161">
        <v>1.66E-2</v>
      </c>
      <c r="AG161" s="1">
        <v>1.4E-2</v>
      </c>
      <c r="AH161" s="1">
        <v>-4.4000000000000003E-3</v>
      </c>
      <c r="AI161" s="1">
        <f t="shared" si="52"/>
        <v>0.31428571428571428</v>
      </c>
      <c r="AK161" t="s">
        <v>8</v>
      </c>
      <c r="AL161">
        <v>1</v>
      </c>
      <c r="AM161">
        <v>0.9</v>
      </c>
      <c r="AN161">
        <v>1.6500000000000001E-2</v>
      </c>
      <c r="AO161">
        <v>1.66E-2</v>
      </c>
      <c r="AP161" s="1">
        <v>1.4E-2</v>
      </c>
      <c r="AQ161" s="1">
        <v>-4.4000000000000003E-3</v>
      </c>
      <c r="AR161" s="1">
        <f t="shared" si="53"/>
        <v>0.31428571428571428</v>
      </c>
      <c r="AT161" s="14">
        <f t="shared" si="48"/>
        <v>0</v>
      </c>
      <c r="AU161" s="9">
        <f t="shared" si="54"/>
        <v>-6.0606060606060233E-3</v>
      </c>
    </row>
    <row r="162" spans="1:47" x14ac:dyDescent="0.35">
      <c r="A162" s="17" t="s">
        <v>9</v>
      </c>
      <c r="B162">
        <v>0.1</v>
      </c>
      <c r="C162">
        <v>0.9</v>
      </c>
      <c r="D162">
        <v>6.9899999999999997E-3</v>
      </c>
      <c r="E162">
        <v>7.3699999999999998E-3</v>
      </c>
      <c r="F162" s="1">
        <v>6.3E-2</v>
      </c>
      <c r="G162" s="1">
        <v>-5.4600000000000003E-2</v>
      </c>
      <c r="H162" s="1">
        <f t="shared" si="49"/>
        <v>0.8666666666666667</v>
      </c>
      <c r="J162" t="s">
        <v>9</v>
      </c>
      <c r="K162">
        <v>0.1</v>
      </c>
      <c r="L162">
        <v>0.9</v>
      </c>
      <c r="M162">
        <v>6.9899999999999997E-3</v>
      </c>
      <c r="N162">
        <v>7.3800000000000003E-3</v>
      </c>
      <c r="O162" s="1">
        <v>6.3E-2</v>
      </c>
      <c r="P162" s="1">
        <v>-5.62E-2</v>
      </c>
      <c r="Q162" s="1">
        <f t="shared" si="50"/>
        <v>0.892063492063492</v>
      </c>
      <c r="S162" t="s">
        <v>9</v>
      </c>
      <c r="T162">
        <v>0.1</v>
      </c>
      <c r="U162">
        <v>0.9</v>
      </c>
      <c r="V162">
        <v>6.9899999999999997E-3</v>
      </c>
      <c r="W162">
        <v>7.3600000000000002E-3</v>
      </c>
      <c r="X162" s="1">
        <v>6.3E-2</v>
      </c>
      <c r="Y162" s="1">
        <v>-5.2900000000000003E-2</v>
      </c>
      <c r="Z162" s="1">
        <f t="shared" si="51"/>
        <v>0.8396825396825397</v>
      </c>
      <c r="AB162" t="s">
        <v>9</v>
      </c>
      <c r="AC162">
        <v>0.1</v>
      </c>
      <c r="AD162">
        <v>0.9</v>
      </c>
      <c r="AE162">
        <v>6.9899999999999997E-3</v>
      </c>
      <c r="AF162">
        <v>7.4000000000000003E-3</v>
      </c>
      <c r="AG162" s="1">
        <v>6.3E-2</v>
      </c>
      <c r="AH162" s="1">
        <v>-5.8999999999999997E-2</v>
      </c>
      <c r="AI162" s="1">
        <f t="shared" si="52"/>
        <v>0.9365079365079364</v>
      </c>
      <c r="AK162" t="s">
        <v>9</v>
      </c>
      <c r="AL162">
        <v>0.1</v>
      </c>
      <c r="AM162">
        <v>0.9</v>
      </c>
      <c r="AN162">
        <v>6.9899999999999997E-3</v>
      </c>
      <c r="AO162">
        <v>7.4000000000000003E-3</v>
      </c>
      <c r="AP162" s="1">
        <v>6.3E-2</v>
      </c>
      <c r="AQ162" s="1">
        <v>-5.8999999999999997E-2</v>
      </c>
      <c r="AR162" s="1">
        <f t="shared" si="53"/>
        <v>0.9365079365079364</v>
      </c>
      <c r="AT162" s="12">
        <f t="shared" si="48"/>
        <v>2.423265215388572E-3</v>
      </c>
      <c r="AU162" s="7">
        <f t="shared" si="54"/>
        <v>-5.608011444921316E-2</v>
      </c>
    </row>
    <row r="163" spans="1:47" x14ac:dyDescent="0.35">
      <c r="A163" s="17" t="s">
        <v>9</v>
      </c>
      <c r="B163">
        <v>0.5</v>
      </c>
      <c r="C163">
        <v>0.9</v>
      </c>
      <c r="D163">
        <v>3.29E-3</v>
      </c>
      <c r="E163">
        <v>3.31E-3</v>
      </c>
      <c r="F163" s="1">
        <v>5.5E-2</v>
      </c>
      <c r="G163" s="1">
        <v>-5.1999999999999998E-3</v>
      </c>
      <c r="H163" s="1">
        <f t="shared" si="49"/>
        <v>9.4545454545454544E-2</v>
      </c>
      <c r="J163" t="s">
        <v>9</v>
      </c>
      <c r="K163">
        <v>0.5</v>
      </c>
      <c r="L163">
        <v>0.9</v>
      </c>
      <c r="M163">
        <v>3.29E-3</v>
      </c>
      <c r="N163">
        <v>3.32E-3</v>
      </c>
      <c r="O163" s="1">
        <v>5.5E-2</v>
      </c>
      <c r="P163" s="1">
        <v>-8.8000000000000005E-3</v>
      </c>
      <c r="Q163" s="1">
        <f t="shared" si="50"/>
        <v>0.16</v>
      </c>
      <c r="S163" t="s">
        <v>9</v>
      </c>
      <c r="T163">
        <v>0.5</v>
      </c>
      <c r="U163">
        <v>0.9</v>
      </c>
      <c r="V163">
        <v>3.29E-3</v>
      </c>
      <c r="W163">
        <v>3.31E-3</v>
      </c>
      <c r="X163" s="1">
        <v>5.5E-2</v>
      </c>
      <c r="Y163" s="1">
        <v>-4.5999999999999999E-3</v>
      </c>
      <c r="Z163" s="1">
        <f t="shared" si="51"/>
        <v>8.3636363636363634E-2</v>
      </c>
      <c r="AB163" t="s">
        <v>9</v>
      </c>
      <c r="AC163">
        <v>0.5</v>
      </c>
      <c r="AD163">
        <v>0.9</v>
      </c>
      <c r="AE163">
        <v>3.29E-3</v>
      </c>
      <c r="AF163">
        <v>3.32E-3</v>
      </c>
      <c r="AG163" s="1">
        <v>5.5E-2</v>
      </c>
      <c r="AH163" s="1">
        <v>-8.3999999999999995E-3</v>
      </c>
      <c r="AI163" s="1">
        <f t="shared" si="52"/>
        <v>0.15272727272727271</v>
      </c>
      <c r="AK163" t="s">
        <v>9</v>
      </c>
      <c r="AL163">
        <v>0.5</v>
      </c>
      <c r="AM163">
        <v>0.9</v>
      </c>
      <c r="AN163">
        <v>3.29E-3</v>
      </c>
      <c r="AO163">
        <v>3.32E-3</v>
      </c>
      <c r="AP163" s="1">
        <v>5.5E-2</v>
      </c>
      <c r="AQ163" s="1">
        <v>-8.3999999999999995E-3</v>
      </c>
      <c r="AR163" s="1">
        <f t="shared" si="53"/>
        <v>0.15272727272727271</v>
      </c>
      <c r="AT163" s="12">
        <f t="shared" si="48"/>
        <v>1.651756807916669E-3</v>
      </c>
      <c r="AU163" s="7">
        <f t="shared" si="54"/>
        <v>-7.902735562310156E-3</v>
      </c>
    </row>
    <row r="164" spans="1:47" x14ac:dyDescent="0.35">
      <c r="A164" s="17" t="s">
        <v>9</v>
      </c>
      <c r="B164">
        <v>1</v>
      </c>
      <c r="C164">
        <v>0.9</v>
      </c>
      <c r="D164">
        <v>1.2099999999999999E-3</v>
      </c>
      <c r="E164">
        <v>1.1999999999999999E-3</v>
      </c>
      <c r="F164" s="1">
        <v>0.109</v>
      </c>
      <c r="G164" s="1">
        <v>8.8000000000000005E-3</v>
      </c>
      <c r="H164" s="1">
        <f t="shared" si="49"/>
        <v>8.0733944954128445E-2</v>
      </c>
      <c r="J164" t="s">
        <v>9</v>
      </c>
      <c r="K164">
        <v>1</v>
      </c>
      <c r="L164">
        <v>0.9</v>
      </c>
      <c r="M164">
        <v>1.2099999999999999E-3</v>
      </c>
      <c r="N164">
        <v>1.1800000000000001E-3</v>
      </c>
      <c r="O164" s="1">
        <v>0.109</v>
      </c>
      <c r="P164" s="1">
        <v>2.5499999999999998E-2</v>
      </c>
      <c r="Q164" s="1">
        <f t="shared" si="50"/>
        <v>0.23394495412844035</v>
      </c>
      <c r="S164" t="s">
        <v>9</v>
      </c>
      <c r="T164">
        <v>1</v>
      </c>
      <c r="U164">
        <v>0.9</v>
      </c>
      <c r="V164">
        <v>1.2099999999999999E-3</v>
      </c>
      <c r="W164">
        <v>1.1999999999999999E-3</v>
      </c>
      <c r="X164" s="1">
        <v>0.109</v>
      </c>
      <c r="Y164" s="1">
        <v>1.17E-2</v>
      </c>
      <c r="Z164" s="1">
        <f t="shared" si="51"/>
        <v>0.10733944954128441</v>
      </c>
      <c r="AB164" t="s">
        <v>9</v>
      </c>
      <c r="AC164">
        <v>1</v>
      </c>
      <c r="AD164">
        <v>0.9</v>
      </c>
      <c r="AE164">
        <v>1.2099999999999999E-3</v>
      </c>
      <c r="AF164">
        <v>1.1999999999999999E-3</v>
      </c>
      <c r="AG164" s="1">
        <v>0.109</v>
      </c>
      <c r="AH164" s="1">
        <v>1.1900000000000001E-2</v>
      </c>
      <c r="AI164" s="1">
        <f t="shared" si="52"/>
        <v>0.10917431192660551</v>
      </c>
      <c r="AK164" t="s">
        <v>9</v>
      </c>
      <c r="AL164">
        <v>1</v>
      </c>
      <c r="AM164">
        <v>0.9</v>
      </c>
      <c r="AN164">
        <v>1.2099999999999999E-3</v>
      </c>
      <c r="AO164">
        <v>1.1999999999999999E-3</v>
      </c>
      <c r="AP164" s="1">
        <v>0.109</v>
      </c>
      <c r="AQ164" s="1">
        <v>1.1900000000000001E-2</v>
      </c>
      <c r="AR164" s="1">
        <f t="shared" si="53"/>
        <v>0.10917431192660551</v>
      </c>
      <c r="AT164" s="12">
        <f>STDEV(AO164,AF164,W164,N164,E164)/ AVERAGE(AO164,AF164,W164,N164,E164)</f>
        <v>7.478488219062782E-3</v>
      </c>
      <c r="AU164" s="7">
        <f t="shared" si="54"/>
        <v>1.1570247933884401E-2</v>
      </c>
    </row>
    <row r="166" spans="1:47" x14ac:dyDescent="0.35">
      <c r="A166" s="6" t="s">
        <v>17</v>
      </c>
      <c r="B166" s="6"/>
      <c r="C166" s="6"/>
      <c r="D166" s="6"/>
      <c r="E166" s="6"/>
      <c r="F166" s="6"/>
      <c r="G166" s="6"/>
      <c r="H166" s="6"/>
      <c r="AN166" s="6" t="s">
        <v>17</v>
      </c>
      <c r="AO166" s="6"/>
      <c r="AP166" s="6"/>
      <c r="AQ166" s="6"/>
      <c r="AR166" s="6"/>
      <c r="AS166" s="6"/>
      <c r="AT166" s="6"/>
      <c r="AU166" s="6"/>
    </row>
    <row r="167" spans="1:47" x14ac:dyDescent="0.35">
      <c r="A167" s="17" t="s">
        <v>0</v>
      </c>
      <c r="B167" t="s">
        <v>1</v>
      </c>
      <c r="C167" t="s">
        <v>2</v>
      </c>
      <c r="D167" t="s">
        <v>3</v>
      </c>
      <c r="E167" t="s">
        <v>4</v>
      </c>
      <c r="F167" t="s">
        <v>5</v>
      </c>
      <c r="G167" t="s">
        <v>6</v>
      </c>
      <c r="J167" t="s">
        <v>0</v>
      </c>
      <c r="K167" t="s">
        <v>1</v>
      </c>
      <c r="L167" t="s">
        <v>2</v>
      </c>
      <c r="M167" t="s">
        <v>3</v>
      </c>
      <c r="N167" t="s">
        <v>4</v>
      </c>
      <c r="O167" t="s">
        <v>5</v>
      </c>
      <c r="P167" t="s">
        <v>6</v>
      </c>
      <c r="S167" t="s">
        <v>0</v>
      </c>
      <c r="T167" t="s">
        <v>1</v>
      </c>
      <c r="U167" t="s">
        <v>2</v>
      </c>
      <c r="V167" t="s">
        <v>3</v>
      </c>
      <c r="W167" t="s">
        <v>4</v>
      </c>
      <c r="X167" t="s">
        <v>5</v>
      </c>
      <c r="Y167" t="s">
        <v>6</v>
      </c>
      <c r="AB167" t="s">
        <v>0</v>
      </c>
      <c r="AC167" t="s">
        <v>1</v>
      </c>
      <c r="AD167" t="s">
        <v>2</v>
      </c>
      <c r="AE167" t="s">
        <v>3</v>
      </c>
      <c r="AF167" t="s">
        <v>4</v>
      </c>
      <c r="AG167" t="s">
        <v>5</v>
      </c>
      <c r="AH167" t="s">
        <v>6</v>
      </c>
      <c r="AT167" s="13" t="e">
        <f t="shared" ref="AT167:AT183" si="55">STDEV(AO167,AF167,W167,N167,E167)/ AVERAGE(AO167,AF167,W167,N167,E167)</f>
        <v>#DIV/0!</v>
      </c>
      <c r="AU167" s="8" t="e">
        <f>( D167 - AVERAGE(AO167,AF167,W167,N167,E167))/ D167</f>
        <v>#VALUE!</v>
      </c>
    </row>
    <row r="168" spans="1:47" x14ac:dyDescent="0.35">
      <c r="A168" s="17" t="s">
        <v>7</v>
      </c>
      <c r="B168">
        <v>0.8</v>
      </c>
      <c r="C168">
        <v>0.2</v>
      </c>
      <c r="D168">
        <v>0.16200000000000001</v>
      </c>
      <c r="E168">
        <v>0.16200000000000001</v>
      </c>
      <c r="F168" s="1">
        <v>0</v>
      </c>
      <c r="G168" s="1">
        <v>8.0000000000000004E-4</v>
      </c>
      <c r="H168" s="1" t="e">
        <f>ABS(G168/F168)</f>
        <v>#DIV/0!</v>
      </c>
      <c r="J168" t="s">
        <v>7</v>
      </c>
      <c r="K168">
        <v>0.8</v>
      </c>
      <c r="L168">
        <v>0.2</v>
      </c>
      <c r="M168">
        <v>0.16200000000000001</v>
      </c>
      <c r="N168">
        <v>0.16200000000000001</v>
      </c>
      <c r="O168" s="1">
        <v>0</v>
      </c>
      <c r="P168" s="1">
        <v>5.0000000000000001E-4</v>
      </c>
      <c r="Q168" s="1" t="e">
        <f>ABS(P168/O168)</f>
        <v>#DIV/0!</v>
      </c>
      <c r="S168" t="s">
        <v>7</v>
      </c>
      <c r="T168">
        <v>0.8</v>
      </c>
      <c r="U168">
        <v>0.2</v>
      </c>
      <c r="V168">
        <v>0.16200000000000001</v>
      </c>
      <c r="W168">
        <v>0.16200000000000001</v>
      </c>
      <c r="X168" s="1">
        <v>0</v>
      </c>
      <c r="Y168" s="1">
        <v>6.9999999999999999E-4</v>
      </c>
      <c r="Z168" s="1" t="e">
        <f>ABS(Y168/X168)</f>
        <v>#DIV/0!</v>
      </c>
      <c r="AB168" t="s">
        <v>7</v>
      </c>
      <c r="AC168">
        <v>0.8</v>
      </c>
      <c r="AD168">
        <v>0.2</v>
      </c>
      <c r="AE168">
        <v>0.16200000000000001</v>
      </c>
      <c r="AF168">
        <v>0.16200000000000001</v>
      </c>
      <c r="AG168" s="1">
        <v>0</v>
      </c>
      <c r="AH168" s="1">
        <v>5.9999999999999995E-4</v>
      </c>
      <c r="AI168" s="1" t="e">
        <f>ABS(AH168/AG168)</f>
        <v>#DIV/0!</v>
      </c>
      <c r="AT168" s="13">
        <f t="shared" si="55"/>
        <v>0</v>
      </c>
      <c r="AU168" s="8">
        <f t="shared" ref="AU168:AU184" si="56">( D168 - AVERAGE(AO168,AF168,W168,N168,E168))/ D168</f>
        <v>0</v>
      </c>
    </row>
    <row r="169" spans="1:47" x14ac:dyDescent="0.35">
      <c r="A169" s="17" t="s">
        <v>7</v>
      </c>
      <c r="B169">
        <v>4</v>
      </c>
      <c r="C169">
        <v>0.2</v>
      </c>
      <c r="D169">
        <v>2.2699999999999999E-3</v>
      </c>
      <c r="E169">
        <v>2.2599999999999999E-3</v>
      </c>
      <c r="F169" s="1">
        <v>2E-3</v>
      </c>
      <c r="G169" s="1">
        <v>6.6E-3</v>
      </c>
      <c r="H169" s="1">
        <f t="shared" ref="H169:H185" si="57">ABS(G169/F169)</f>
        <v>3.3</v>
      </c>
      <c r="J169" t="s">
        <v>7</v>
      </c>
      <c r="K169">
        <v>4</v>
      </c>
      <c r="L169">
        <v>0.2</v>
      </c>
      <c r="M169">
        <v>2.2699999999999999E-3</v>
      </c>
      <c r="N169">
        <v>2.2599999999999999E-3</v>
      </c>
      <c r="O169" s="1">
        <v>2E-3</v>
      </c>
      <c r="P169" s="1">
        <v>2.8E-3</v>
      </c>
      <c r="Q169" s="1">
        <f t="shared" ref="Q169:Q185" si="58">ABS(P169/O169)</f>
        <v>1.4</v>
      </c>
      <c r="S169" t="s">
        <v>7</v>
      </c>
      <c r="T169">
        <v>4</v>
      </c>
      <c r="U169">
        <v>0.2</v>
      </c>
      <c r="V169">
        <v>2.2699999999999999E-3</v>
      </c>
      <c r="W169">
        <v>2.2699999999999999E-3</v>
      </c>
      <c r="X169" s="1">
        <v>2E-3</v>
      </c>
      <c r="Y169" s="1">
        <v>2E-3</v>
      </c>
      <c r="Z169" s="1">
        <f t="shared" ref="Z169:Z185" si="59">ABS(Y169/X169)</f>
        <v>1</v>
      </c>
      <c r="AB169" t="s">
        <v>7</v>
      </c>
      <c r="AC169">
        <v>4</v>
      </c>
      <c r="AD169">
        <v>0.2</v>
      </c>
      <c r="AE169">
        <v>2.2699999999999999E-3</v>
      </c>
      <c r="AF169">
        <v>2.2699999999999999E-3</v>
      </c>
      <c r="AG169" s="1">
        <v>2E-3</v>
      </c>
      <c r="AH169" s="1">
        <v>-2.9999999999999997E-4</v>
      </c>
      <c r="AI169" s="1">
        <f t="shared" ref="AI169:AI185" si="60">ABS(AH169/AG169)</f>
        <v>0.15</v>
      </c>
      <c r="AT169" s="13">
        <f t="shared" si="55"/>
        <v>2.5490078109917324E-3</v>
      </c>
      <c r="AU169" s="8">
        <f t="shared" si="56"/>
        <v>2.2026431718062687E-3</v>
      </c>
    </row>
    <row r="170" spans="1:47" x14ac:dyDescent="0.35">
      <c r="A170" s="17" t="s">
        <v>7</v>
      </c>
      <c r="B170">
        <v>8</v>
      </c>
      <c r="C170">
        <v>0.2</v>
      </c>
      <c r="D170">
        <v>1.2999999999999999E-5</v>
      </c>
      <c r="E170">
        <v>1.34E-5</v>
      </c>
      <c r="F170" s="1">
        <v>4.7E-2</v>
      </c>
      <c r="G170" s="1">
        <v>-2.92E-2</v>
      </c>
      <c r="H170" s="1">
        <f t="shared" si="57"/>
        <v>0.62127659574468086</v>
      </c>
      <c r="J170" t="s">
        <v>7</v>
      </c>
      <c r="K170">
        <v>8</v>
      </c>
      <c r="L170">
        <v>0.2</v>
      </c>
      <c r="M170">
        <v>1.2999999999999999E-5</v>
      </c>
      <c r="N170">
        <v>1.3499999999999999E-5</v>
      </c>
      <c r="O170" s="1">
        <v>4.7E-2</v>
      </c>
      <c r="P170" s="1">
        <v>-3.7699999999999997E-2</v>
      </c>
      <c r="Q170" s="1">
        <f t="shared" si="58"/>
        <v>0.80212765957446808</v>
      </c>
      <c r="S170" t="s">
        <v>7</v>
      </c>
      <c r="T170">
        <v>8</v>
      </c>
      <c r="U170">
        <v>0.2</v>
      </c>
      <c r="V170">
        <v>1.2999999999999999E-5</v>
      </c>
      <c r="W170">
        <v>1.36E-5</v>
      </c>
      <c r="X170" s="1">
        <v>4.7E-2</v>
      </c>
      <c r="Y170" s="1">
        <v>-4.3799999999999999E-2</v>
      </c>
      <c r="Z170" s="1">
        <f t="shared" si="59"/>
        <v>0.93191489361702129</v>
      </c>
      <c r="AB170" t="s">
        <v>7</v>
      </c>
      <c r="AC170">
        <v>8</v>
      </c>
      <c r="AD170">
        <v>0.2</v>
      </c>
      <c r="AE170">
        <v>1.2999999999999999E-5</v>
      </c>
      <c r="AF170">
        <v>1.27E-5</v>
      </c>
      <c r="AG170" s="1">
        <v>4.7E-2</v>
      </c>
      <c r="AH170" s="1">
        <v>2.1499999999999998E-2</v>
      </c>
      <c r="AI170" s="1">
        <f t="shared" si="60"/>
        <v>0.45744680851063824</v>
      </c>
      <c r="AT170" s="14">
        <f t="shared" si="55"/>
        <v>3.0695360185252842E-2</v>
      </c>
      <c r="AU170" s="9">
        <f t="shared" si="56"/>
        <v>-2.3076923076923248E-2</v>
      </c>
    </row>
    <row r="171" spans="1:47" x14ac:dyDescent="0.35">
      <c r="A171" s="17" t="s">
        <v>8</v>
      </c>
      <c r="B171">
        <v>0.8</v>
      </c>
      <c r="C171">
        <v>0.2</v>
      </c>
      <c r="D171">
        <v>9.6599999999999995E-4</v>
      </c>
      <c r="E171">
        <v>9.4200000000000002E-4</v>
      </c>
      <c r="F171" s="1">
        <v>2.3E-2</v>
      </c>
      <c r="G171" s="1">
        <v>2.4799999999999999E-2</v>
      </c>
      <c r="H171" s="1">
        <f t="shared" si="57"/>
        <v>1.0782608695652174</v>
      </c>
      <c r="J171" t="s">
        <v>8</v>
      </c>
      <c r="K171">
        <v>0.8</v>
      </c>
      <c r="L171">
        <v>0.2</v>
      </c>
      <c r="M171">
        <v>9.6599999999999995E-4</v>
      </c>
      <c r="N171">
        <v>9.4799999999999995E-4</v>
      </c>
      <c r="O171" s="1">
        <v>2.3E-2</v>
      </c>
      <c r="P171" s="1">
        <v>1.8599999999999998E-2</v>
      </c>
      <c r="Q171" s="1">
        <f t="shared" si="58"/>
        <v>0.80869565217391304</v>
      </c>
      <c r="S171" t="s">
        <v>8</v>
      </c>
      <c r="T171">
        <v>0.8</v>
      </c>
      <c r="U171">
        <v>0.2</v>
      </c>
      <c r="V171">
        <v>9.6599999999999995E-4</v>
      </c>
      <c r="W171">
        <v>9.2800000000000001E-4</v>
      </c>
      <c r="X171" s="1">
        <v>2.3E-2</v>
      </c>
      <c r="Y171" s="1">
        <v>3.9600000000000003E-2</v>
      </c>
      <c r="Z171" s="1">
        <f t="shared" si="59"/>
        <v>1.7217391304347829</v>
      </c>
      <c r="AB171" t="s">
        <v>8</v>
      </c>
      <c r="AC171">
        <v>0.8</v>
      </c>
      <c r="AD171">
        <v>0.2</v>
      </c>
      <c r="AE171">
        <v>9.6599999999999995E-4</v>
      </c>
      <c r="AF171">
        <v>9.41E-4</v>
      </c>
      <c r="AG171" s="1">
        <v>2.3E-2</v>
      </c>
      <c r="AH171" s="1">
        <v>2.5899999999999999E-2</v>
      </c>
      <c r="AI171" s="1">
        <f t="shared" si="60"/>
        <v>1.1260869565217391</v>
      </c>
      <c r="AT171" s="14">
        <f t="shared" si="55"/>
        <v>8.9611102929217021E-3</v>
      </c>
      <c r="AU171" s="9">
        <f t="shared" si="56"/>
        <v>2.7173913043478166E-2</v>
      </c>
    </row>
    <row r="172" spans="1:47" x14ac:dyDescent="0.35">
      <c r="A172" s="17" t="s">
        <v>8</v>
      </c>
      <c r="B172">
        <v>4</v>
      </c>
      <c r="C172">
        <v>0.2</v>
      </c>
      <c r="D172">
        <v>1.3699999999999999E-5</v>
      </c>
      <c r="E172">
        <v>1.22E-5</v>
      </c>
      <c r="F172" s="1">
        <v>6.3E-2</v>
      </c>
      <c r="G172" s="1">
        <v>0.1095</v>
      </c>
      <c r="H172" s="1">
        <f t="shared" si="57"/>
        <v>1.7380952380952381</v>
      </c>
      <c r="J172" t="s">
        <v>8</v>
      </c>
      <c r="K172">
        <v>4</v>
      </c>
      <c r="L172">
        <v>0.2</v>
      </c>
      <c r="M172">
        <v>1.3699999999999999E-5</v>
      </c>
      <c r="N172">
        <v>1.2999999999999999E-5</v>
      </c>
      <c r="O172" s="1">
        <v>6.3E-2</v>
      </c>
      <c r="P172" s="1">
        <v>4.82E-2</v>
      </c>
      <c r="Q172" s="1">
        <f t="shared" si="58"/>
        <v>0.76507936507936503</v>
      </c>
      <c r="S172" t="s">
        <v>8</v>
      </c>
      <c r="T172">
        <v>4</v>
      </c>
      <c r="U172">
        <v>0.2</v>
      </c>
      <c r="V172">
        <v>1.3699999999999999E-5</v>
      </c>
      <c r="W172">
        <v>1.19E-5</v>
      </c>
      <c r="X172" s="1">
        <v>6.3E-2</v>
      </c>
      <c r="Y172" s="1">
        <v>0.12920000000000001</v>
      </c>
      <c r="Z172" s="1">
        <f t="shared" si="59"/>
        <v>2.0507936507936511</v>
      </c>
      <c r="AB172" t="s">
        <v>8</v>
      </c>
      <c r="AC172">
        <v>4</v>
      </c>
      <c r="AD172">
        <v>0.2</v>
      </c>
      <c r="AE172">
        <v>1.3699999999999999E-5</v>
      </c>
      <c r="AF172">
        <v>1.2999999999999999E-5</v>
      </c>
      <c r="AG172" s="1">
        <v>6.3E-2</v>
      </c>
      <c r="AH172" s="1">
        <v>5.11E-2</v>
      </c>
      <c r="AI172" s="1">
        <f t="shared" si="60"/>
        <v>0.81111111111111112</v>
      </c>
      <c r="AT172" s="14">
        <f t="shared" si="55"/>
        <v>4.486950179663967E-2</v>
      </c>
      <c r="AU172" s="9">
        <f t="shared" si="56"/>
        <v>8.5766423357664226E-2</v>
      </c>
    </row>
    <row r="173" spans="1:47" x14ac:dyDescent="0.35">
      <c r="A173" s="17" t="s">
        <v>8</v>
      </c>
      <c r="B173">
        <v>8</v>
      </c>
      <c r="C173">
        <v>0.2</v>
      </c>
      <c r="D173">
        <v>7.2800000000000003E-8</v>
      </c>
      <c r="E173">
        <v>1E-8</v>
      </c>
      <c r="F173" s="1">
        <v>0.187</v>
      </c>
      <c r="G173" s="1">
        <v>0.86260000000000003</v>
      </c>
      <c r="H173" s="1">
        <f t="shared" si="57"/>
        <v>4.6128342245989309</v>
      </c>
      <c r="J173" t="s">
        <v>8</v>
      </c>
      <c r="K173">
        <v>8</v>
      </c>
      <c r="L173">
        <v>0.2</v>
      </c>
      <c r="M173">
        <v>7.2800000000000003E-8</v>
      </c>
      <c r="N173">
        <v>4.9999999999999998E-8</v>
      </c>
      <c r="O173" s="1">
        <v>0.187</v>
      </c>
      <c r="P173" s="1">
        <v>0.31319999999999998</v>
      </c>
      <c r="Q173" s="1">
        <f t="shared" si="58"/>
        <v>1.6748663101604278</v>
      </c>
      <c r="S173" t="s">
        <v>8</v>
      </c>
      <c r="T173">
        <v>8</v>
      </c>
      <c r="U173">
        <v>0.2</v>
      </c>
      <c r="V173">
        <v>7.2800000000000003E-8</v>
      </c>
      <c r="W173">
        <v>5.9999999999999995E-8</v>
      </c>
      <c r="X173" s="1">
        <v>0.187</v>
      </c>
      <c r="Y173" s="1">
        <v>0.17580000000000001</v>
      </c>
      <c r="Z173" s="1">
        <f t="shared" si="59"/>
        <v>0.94010695187165783</v>
      </c>
      <c r="AB173" t="s">
        <v>8</v>
      </c>
      <c r="AC173">
        <v>8</v>
      </c>
      <c r="AD173">
        <v>0.2</v>
      </c>
      <c r="AE173">
        <v>7.2800000000000003E-8</v>
      </c>
      <c r="AF173">
        <v>1.1000000000000001E-7</v>
      </c>
      <c r="AG173" s="1">
        <v>0.187</v>
      </c>
      <c r="AH173" s="1">
        <v>-0.51100000000000001</v>
      </c>
      <c r="AI173" s="1">
        <f t="shared" si="60"/>
        <v>2.7326203208556152</v>
      </c>
      <c r="AT173" s="12">
        <f t="shared" si="55"/>
        <v>0.71530218430452552</v>
      </c>
      <c r="AU173" s="7">
        <f t="shared" si="56"/>
        <v>0.21016483516483514</v>
      </c>
    </row>
    <row r="174" spans="1:47" x14ac:dyDescent="0.35">
      <c r="A174" s="17" t="s">
        <v>9</v>
      </c>
      <c r="B174">
        <v>0.8</v>
      </c>
      <c r="C174">
        <v>0.2</v>
      </c>
      <c r="D174">
        <v>5.4700000000000001E-5</v>
      </c>
      <c r="E174">
        <v>6.0900000000000003E-5</v>
      </c>
      <c r="F174" s="1">
        <v>0.06</v>
      </c>
      <c r="G174" s="1">
        <v>-0.1135</v>
      </c>
      <c r="H174" s="1">
        <f t="shared" si="57"/>
        <v>1.8916666666666668</v>
      </c>
      <c r="J174" t="s">
        <v>9</v>
      </c>
      <c r="K174">
        <v>0.8</v>
      </c>
      <c r="L174">
        <v>0.2</v>
      </c>
      <c r="M174">
        <v>5.4700000000000001E-5</v>
      </c>
      <c r="N174">
        <v>5.8600000000000001E-5</v>
      </c>
      <c r="O174" s="1">
        <v>0.06</v>
      </c>
      <c r="P174" s="1">
        <v>-7.22E-2</v>
      </c>
      <c r="Q174" s="1">
        <f t="shared" si="58"/>
        <v>1.2033333333333334</v>
      </c>
      <c r="S174" t="s">
        <v>9</v>
      </c>
      <c r="T174">
        <v>0.8</v>
      </c>
      <c r="U174">
        <v>0.2</v>
      </c>
      <c r="V174">
        <v>5.4700000000000001E-5</v>
      </c>
      <c r="W174">
        <v>6.1799999999999998E-5</v>
      </c>
      <c r="X174" s="1">
        <v>0.06</v>
      </c>
      <c r="Y174" s="1">
        <v>-0.13020000000000001</v>
      </c>
      <c r="Z174" s="1">
        <f t="shared" si="59"/>
        <v>2.1700000000000004</v>
      </c>
      <c r="AB174" t="s">
        <v>9</v>
      </c>
      <c r="AC174">
        <v>0.8</v>
      </c>
      <c r="AD174">
        <v>0.2</v>
      </c>
      <c r="AE174">
        <v>5.4700000000000001E-5</v>
      </c>
      <c r="AF174">
        <v>5.9500000000000003E-5</v>
      </c>
      <c r="AG174" s="1">
        <v>0.06</v>
      </c>
      <c r="AH174" s="1">
        <v>-8.72E-2</v>
      </c>
      <c r="AI174" s="1">
        <f t="shared" si="60"/>
        <v>1.4533333333333334</v>
      </c>
      <c r="AT174" s="12">
        <f t="shared" si="55"/>
        <v>2.3686876673540885E-2</v>
      </c>
      <c r="AU174" s="7">
        <f t="shared" si="56"/>
        <v>-0.1005484460694698</v>
      </c>
    </row>
    <row r="175" spans="1:47" x14ac:dyDescent="0.35">
      <c r="A175" s="17" t="s">
        <v>9</v>
      </c>
      <c r="B175">
        <v>4</v>
      </c>
      <c r="C175">
        <v>0.2</v>
      </c>
      <c r="D175">
        <v>6.2399999999999998E-7</v>
      </c>
      <c r="E175">
        <v>1.0499999999999999E-6</v>
      </c>
      <c r="F175" s="1">
        <v>0.35499999999999998</v>
      </c>
      <c r="G175" s="1">
        <v>-0.68269999999999997</v>
      </c>
      <c r="H175" s="1">
        <f t="shared" si="57"/>
        <v>1.9230985915492957</v>
      </c>
      <c r="J175" t="s">
        <v>9</v>
      </c>
      <c r="K175">
        <v>4</v>
      </c>
      <c r="L175">
        <v>0.2</v>
      </c>
      <c r="M175">
        <v>6.2399999999999998E-7</v>
      </c>
      <c r="N175">
        <v>9.4E-7</v>
      </c>
      <c r="O175" s="1">
        <v>0.35499999999999998</v>
      </c>
      <c r="P175" s="1">
        <v>-0.50639999999999996</v>
      </c>
      <c r="Q175" s="1">
        <f t="shared" si="58"/>
        <v>1.4264788732394367</v>
      </c>
      <c r="S175" t="s">
        <v>9</v>
      </c>
      <c r="T175">
        <v>4</v>
      </c>
      <c r="U175">
        <v>0.2</v>
      </c>
      <c r="V175">
        <v>6.2399999999999998E-7</v>
      </c>
      <c r="W175">
        <v>9.1999999999999998E-7</v>
      </c>
      <c r="X175" s="1">
        <v>0.35499999999999998</v>
      </c>
      <c r="Y175" s="1">
        <v>-0.47439999999999999</v>
      </c>
      <c r="Z175" s="1">
        <f t="shared" si="59"/>
        <v>1.336338028169014</v>
      </c>
      <c r="AB175" t="s">
        <v>9</v>
      </c>
      <c r="AC175">
        <v>4</v>
      </c>
      <c r="AD175">
        <v>0.2</v>
      </c>
      <c r="AE175">
        <v>6.2399999999999998E-7</v>
      </c>
      <c r="AF175">
        <v>8.9999999999999996E-7</v>
      </c>
      <c r="AG175" s="1">
        <v>0.35499999999999998</v>
      </c>
      <c r="AH175" s="1">
        <v>-0.44230000000000003</v>
      </c>
      <c r="AI175" s="1">
        <f t="shared" si="60"/>
        <v>1.2459154929577465</v>
      </c>
      <c r="AT175" s="12">
        <f t="shared" si="55"/>
        <v>7.0362097157946071E-2</v>
      </c>
      <c r="AU175" s="7">
        <f t="shared" si="56"/>
        <v>-0.52644230769230771</v>
      </c>
    </row>
    <row r="176" spans="1:47" x14ac:dyDescent="0.35">
      <c r="A176" s="17" t="s">
        <v>9</v>
      </c>
      <c r="B176">
        <v>8</v>
      </c>
      <c r="C176">
        <v>0.2</v>
      </c>
      <c r="D176">
        <v>4.0199999999999998E-9</v>
      </c>
      <c r="E176">
        <v>2E-8</v>
      </c>
      <c r="F176" s="1">
        <v>0.248</v>
      </c>
      <c r="G176" s="1">
        <v>-3.9750999999999999</v>
      </c>
      <c r="H176" s="1">
        <f t="shared" si="57"/>
        <v>16.028629032258063</v>
      </c>
      <c r="J176" t="s">
        <v>9</v>
      </c>
      <c r="K176">
        <v>8</v>
      </c>
      <c r="L176">
        <v>0.2</v>
      </c>
      <c r="M176">
        <v>4.0199999999999998E-9</v>
      </c>
      <c r="N176">
        <v>2E-8</v>
      </c>
      <c r="O176" s="1">
        <v>0.248</v>
      </c>
      <c r="P176" s="1">
        <v>-3.9750999999999999</v>
      </c>
      <c r="Q176" s="1">
        <f t="shared" si="58"/>
        <v>16.028629032258063</v>
      </c>
      <c r="S176" t="s">
        <v>9</v>
      </c>
      <c r="T176">
        <v>8</v>
      </c>
      <c r="U176">
        <v>0.2</v>
      </c>
      <c r="V176">
        <v>4.0199999999999998E-9</v>
      </c>
      <c r="W176">
        <v>0</v>
      </c>
      <c r="X176" s="1">
        <v>0.248</v>
      </c>
      <c r="Y176" s="1">
        <v>1</v>
      </c>
      <c r="Z176" s="1">
        <f t="shared" si="59"/>
        <v>4.032258064516129</v>
      </c>
      <c r="AB176" t="s">
        <v>9</v>
      </c>
      <c r="AC176">
        <v>8</v>
      </c>
      <c r="AD176">
        <v>0.2</v>
      </c>
      <c r="AE176">
        <v>4.0199999999999998E-9</v>
      </c>
      <c r="AF176">
        <v>0</v>
      </c>
      <c r="AG176" s="1">
        <v>0.248</v>
      </c>
      <c r="AH176" s="1">
        <v>1</v>
      </c>
      <c r="AI176" s="1">
        <f t="shared" si="60"/>
        <v>4.032258064516129</v>
      </c>
      <c r="AT176" s="13">
        <f t="shared" si="55"/>
        <v>1.1547005383792515</v>
      </c>
      <c r="AU176" s="8">
        <f t="shared" si="56"/>
        <v>-1.4875621890547266</v>
      </c>
    </row>
    <row r="177" spans="1:47" x14ac:dyDescent="0.35">
      <c r="A177" s="17" t="s">
        <v>7</v>
      </c>
      <c r="B177">
        <v>0.1</v>
      </c>
      <c r="C177">
        <v>0.9</v>
      </c>
      <c r="D177">
        <v>0.41299999999999998</v>
      </c>
      <c r="E177">
        <v>0.41399999999999998</v>
      </c>
      <c r="F177" s="1">
        <v>1E-3</v>
      </c>
      <c r="G177" s="1">
        <v>-1.4E-3</v>
      </c>
      <c r="H177" s="1">
        <f t="shared" si="57"/>
        <v>1.4</v>
      </c>
      <c r="J177" t="s">
        <v>7</v>
      </c>
      <c r="K177">
        <v>0.1</v>
      </c>
      <c r="L177">
        <v>0.9</v>
      </c>
      <c r="M177">
        <v>0.41299999999999998</v>
      </c>
      <c r="N177">
        <v>0.41399999999999998</v>
      </c>
      <c r="O177" s="1">
        <v>1E-3</v>
      </c>
      <c r="P177" s="1">
        <v>-1.4E-3</v>
      </c>
      <c r="Q177" s="1">
        <f t="shared" si="58"/>
        <v>1.4</v>
      </c>
      <c r="S177" t="s">
        <v>7</v>
      </c>
      <c r="T177">
        <v>0.1</v>
      </c>
      <c r="U177">
        <v>0.9</v>
      </c>
      <c r="V177">
        <v>0.41299999999999998</v>
      </c>
      <c r="W177">
        <v>0.41399999999999998</v>
      </c>
      <c r="X177" s="1">
        <v>1E-3</v>
      </c>
      <c r="Y177" s="1">
        <v>-1.4E-3</v>
      </c>
      <c r="Z177" s="1">
        <f t="shared" si="59"/>
        <v>1.4</v>
      </c>
      <c r="AB177" t="s">
        <v>7</v>
      </c>
      <c r="AC177">
        <v>0.1</v>
      </c>
      <c r="AD177">
        <v>0.9</v>
      </c>
      <c r="AE177">
        <v>0.41299999999999998</v>
      </c>
      <c r="AF177">
        <v>0.41399999999999998</v>
      </c>
      <c r="AG177" s="1">
        <v>1E-3</v>
      </c>
      <c r="AH177" s="1">
        <v>-1.5E-3</v>
      </c>
      <c r="AI177" s="1">
        <f t="shared" si="60"/>
        <v>1.5</v>
      </c>
      <c r="AT177" s="13">
        <f t="shared" si="55"/>
        <v>0</v>
      </c>
      <c r="AU177" s="8">
        <f t="shared" si="56"/>
        <v>-2.421307506053271E-3</v>
      </c>
    </row>
    <row r="178" spans="1:47" x14ac:dyDescent="0.35">
      <c r="A178" s="17" t="s">
        <v>7</v>
      </c>
      <c r="B178">
        <v>0.5</v>
      </c>
      <c r="C178">
        <v>0.9</v>
      </c>
      <c r="D178">
        <v>0.187</v>
      </c>
      <c r="E178">
        <v>0.184</v>
      </c>
      <c r="F178" s="1">
        <v>5.0000000000000001E-3</v>
      </c>
      <c r="G178" s="1">
        <v>1.61E-2</v>
      </c>
      <c r="H178" s="1">
        <f t="shared" si="57"/>
        <v>3.2199999999999998</v>
      </c>
      <c r="J178" t="s">
        <v>7</v>
      </c>
      <c r="K178">
        <v>0.5</v>
      </c>
      <c r="L178">
        <v>0.9</v>
      </c>
      <c r="M178">
        <v>0.187</v>
      </c>
      <c r="N178">
        <v>0.184</v>
      </c>
      <c r="O178" s="1">
        <v>5.0000000000000001E-3</v>
      </c>
      <c r="P178" s="1">
        <v>1.66E-2</v>
      </c>
      <c r="Q178" s="1">
        <f t="shared" si="58"/>
        <v>3.32</v>
      </c>
      <c r="S178" t="s">
        <v>7</v>
      </c>
      <c r="T178">
        <v>0.5</v>
      </c>
      <c r="U178">
        <v>0.9</v>
      </c>
      <c r="V178">
        <v>0.187</v>
      </c>
      <c r="W178">
        <v>0.184</v>
      </c>
      <c r="X178" s="1">
        <v>5.0000000000000001E-3</v>
      </c>
      <c r="Y178" s="1">
        <v>1.6500000000000001E-2</v>
      </c>
      <c r="Z178" s="1">
        <f t="shared" si="59"/>
        <v>3.3000000000000003</v>
      </c>
      <c r="AB178" t="s">
        <v>7</v>
      </c>
      <c r="AC178">
        <v>0.5</v>
      </c>
      <c r="AD178">
        <v>0.9</v>
      </c>
      <c r="AE178">
        <v>0.187</v>
      </c>
      <c r="AF178">
        <v>0.184</v>
      </c>
      <c r="AG178" s="1">
        <v>5.0000000000000001E-3</v>
      </c>
      <c r="AH178" s="1">
        <v>1.67E-2</v>
      </c>
      <c r="AI178" s="1">
        <f t="shared" si="60"/>
        <v>3.34</v>
      </c>
      <c r="AT178" s="13">
        <f t="shared" si="55"/>
        <v>0</v>
      </c>
      <c r="AU178" s="8">
        <f t="shared" si="56"/>
        <v>1.6042780748663117E-2</v>
      </c>
    </row>
    <row r="179" spans="1:47" x14ac:dyDescent="0.35">
      <c r="A179" s="17" t="s">
        <v>7</v>
      </c>
      <c r="B179">
        <v>1</v>
      </c>
      <c r="C179">
        <v>0.9</v>
      </c>
      <c r="D179">
        <v>6.8500000000000005E-2</v>
      </c>
      <c r="E179">
        <v>6.6199999999999995E-2</v>
      </c>
      <c r="F179" s="1">
        <v>0.01</v>
      </c>
      <c r="G179" s="1">
        <v>3.3399999999999999E-2</v>
      </c>
      <c r="H179" s="1">
        <f t="shared" si="57"/>
        <v>3.34</v>
      </c>
      <c r="J179" t="s">
        <v>7</v>
      </c>
      <c r="K179">
        <v>1</v>
      </c>
      <c r="L179">
        <v>0.9</v>
      </c>
      <c r="M179">
        <v>6.8500000000000005E-2</v>
      </c>
      <c r="N179">
        <v>6.6199999999999995E-2</v>
      </c>
      <c r="O179" s="1">
        <v>0.01</v>
      </c>
      <c r="P179" s="1">
        <v>3.3599999999999998E-2</v>
      </c>
      <c r="Q179" s="1">
        <f t="shared" si="58"/>
        <v>3.36</v>
      </c>
      <c r="S179" t="s">
        <v>7</v>
      </c>
      <c r="T179">
        <v>1</v>
      </c>
      <c r="U179">
        <v>0.9</v>
      </c>
      <c r="V179">
        <v>6.8500000000000005E-2</v>
      </c>
      <c r="W179">
        <v>6.6199999999999995E-2</v>
      </c>
      <c r="X179" s="1">
        <v>0.01</v>
      </c>
      <c r="Y179" s="1">
        <v>3.3700000000000001E-2</v>
      </c>
      <c r="Z179" s="1">
        <f t="shared" si="59"/>
        <v>3.37</v>
      </c>
      <c r="AB179" t="s">
        <v>7</v>
      </c>
      <c r="AC179">
        <v>1</v>
      </c>
      <c r="AD179">
        <v>0.9</v>
      </c>
      <c r="AE179">
        <v>6.8500000000000005E-2</v>
      </c>
      <c r="AF179">
        <v>6.6100000000000006E-2</v>
      </c>
      <c r="AG179" s="1">
        <v>0.01</v>
      </c>
      <c r="AH179" s="1">
        <v>3.4299999999999997E-2</v>
      </c>
      <c r="AI179" s="1">
        <f t="shared" si="60"/>
        <v>3.4299999999999997</v>
      </c>
      <c r="AT179" s="14">
        <f t="shared" si="55"/>
        <v>7.5557234605205131E-4</v>
      </c>
      <c r="AU179" s="9">
        <f t="shared" si="56"/>
        <v>3.3941605839416168E-2</v>
      </c>
    </row>
    <row r="180" spans="1:47" x14ac:dyDescent="0.35">
      <c r="A180" s="17" t="s">
        <v>8</v>
      </c>
      <c r="B180">
        <v>0.1</v>
      </c>
      <c r="C180">
        <v>0.9</v>
      </c>
      <c r="D180">
        <v>9.3100000000000002E-2</v>
      </c>
      <c r="E180">
        <v>9.1800000000000007E-2</v>
      </c>
      <c r="F180" s="1">
        <v>2.1000000000000001E-2</v>
      </c>
      <c r="G180" s="1">
        <v>1.4500000000000001E-2</v>
      </c>
      <c r="H180" s="1">
        <f t="shared" si="57"/>
        <v>0.69047619047619047</v>
      </c>
      <c r="J180" t="s">
        <v>8</v>
      </c>
      <c r="K180">
        <v>0.1</v>
      </c>
      <c r="L180">
        <v>0.9</v>
      </c>
      <c r="M180">
        <v>9.3100000000000002E-2</v>
      </c>
      <c r="N180">
        <v>9.1899999999999996E-2</v>
      </c>
      <c r="O180" s="1">
        <v>2.1000000000000001E-2</v>
      </c>
      <c r="P180" s="1">
        <v>1.2999999999999999E-2</v>
      </c>
      <c r="Q180" s="1">
        <f t="shared" si="58"/>
        <v>0.61904761904761896</v>
      </c>
      <c r="S180" t="s">
        <v>8</v>
      </c>
      <c r="T180">
        <v>0.1</v>
      </c>
      <c r="U180">
        <v>0.9</v>
      </c>
      <c r="V180">
        <v>9.3100000000000002E-2</v>
      </c>
      <c r="W180">
        <v>9.1800000000000007E-2</v>
      </c>
      <c r="X180" s="1">
        <v>2.1000000000000001E-2</v>
      </c>
      <c r="Y180" s="1">
        <v>1.37E-2</v>
      </c>
      <c r="Z180" s="1">
        <f t="shared" si="59"/>
        <v>0.65238095238095239</v>
      </c>
      <c r="AB180" t="s">
        <v>8</v>
      </c>
      <c r="AC180">
        <v>0.1</v>
      </c>
      <c r="AD180">
        <v>0.9</v>
      </c>
      <c r="AE180">
        <v>9.3100000000000002E-2</v>
      </c>
      <c r="AF180">
        <v>9.1899999999999996E-2</v>
      </c>
      <c r="AG180" s="1">
        <v>2.1000000000000001E-2</v>
      </c>
      <c r="AH180" s="1">
        <v>1.24E-2</v>
      </c>
      <c r="AI180" s="1">
        <f t="shared" si="60"/>
        <v>0.59047619047619038</v>
      </c>
      <c r="AT180" s="14">
        <f t="shared" si="55"/>
        <v>6.2857949830110197E-4</v>
      </c>
      <c r="AU180" s="9">
        <f t="shared" si="56"/>
        <v>1.3426423200859303E-2</v>
      </c>
    </row>
    <row r="181" spans="1:47" x14ac:dyDescent="0.35">
      <c r="A181" s="17" t="s">
        <v>8</v>
      </c>
      <c r="B181">
        <v>0.5</v>
      </c>
      <c r="C181">
        <v>0.9</v>
      </c>
      <c r="D181">
        <v>4.6300000000000001E-2</v>
      </c>
      <c r="E181">
        <v>4.4400000000000002E-2</v>
      </c>
      <c r="F181" s="1">
        <v>1.7000000000000001E-2</v>
      </c>
      <c r="G181" s="1">
        <v>4.1599999999999998E-2</v>
      </c>
      <c r="H181" s="1">
        <f t="shared" si="57"/>
        <v>2.4470588235294115</v>
      </c>
      <c r="J181" t="s">
        <v>8</v>
      </c>
      <c r="K181">
        <v>0.5</v>
      </c>
      <c r="L181">
        <v>0.9</v>
      </c>
      <c r="M181">
        <v>4.6300000000000001E-2</v>
      </c>
      <c r="N181">
        <v>4.4299999999999999E-2</v>
      </c>
      <c r="O181" s="1">
        <v>1.7000000000000001E-2</v>
      </c>
      <c r="P181" s="1">
        <v>4.2500000000000003E-2</v>
      </c>
      <c r="Q181" s="1">
        <f t="shared" si="58"/>
        <v>2.5</v>
      </c>
      <c r="S181" t="s">
        <v>8</v>
      </c>
      <c r="T181">
        <v>0.5</v>
      </c>
      <c r="U181">
        <v>0.9</v>
      </c>
      <c r="V181">
        <v>4.6300000000000001E-2</v>
      </c>
      <c r="W181">
        <v>4.4499999999999998E-2</v>
      </c>
      <c r="X181" s="1">
        <v>1.7000000000000001E-2</v>
      </c>
      <c r="Y181" s="1">
        <v>3.9899999999999998E-2</v>
      </c>
      <c r="Z181" s="1">
        <f t="shared" si="59"/>
        <v>2.3470588235294114</v>
      </c>
      <c r="AB181" t="s">
        <v>8</v>
      </c>
      <c r="AC181">
        <v>0.5</v>
      </c>
      <c r="AD181">
        <v>0.9</v>
      </c>
      <c r="AE181">
        <v>4.6300000000000001E-2</v>
      </c>
      <c r="AF181">
        <v>4.4499999999999998E-2</v>
      </c>
      <c r="AG181" s="1">
        <v>1.7000000000000001E-2</v>
      </c>
      <c r="AH181" s="1">
        <v>3.9399999999999998E-2</v>
      </c>
      <c r="AI181" s="1">
        <f t="shared" si="60"/>
        <v>2.3176470588235292</v>
      </c>
      <c r="AT181" s="14">
        <f t="shared" si="55"/>
        <v>2.1551538722708596E-3</v>
      </c>
      <c r="AU181" s="9">
        <f t="shared" si="56"/>
        <v>4.0496760259179303E-2</v>
      </c>
    </row>
    <row r="182" spans="1:47" x14ac:dyDescent="0.35">
      <c r="A182" s="17" t="s">
        <v>8</v>
      </c>
      <c r="B182">
        <v>1</v>
      </c>
      <c r="C182">
        <v>0.9</v>
      </c>
      <c r="D182">
        <v>1.6500000000000001E-2</v>
      </c>
      <c r="E182">
        <v>1.54E-2</v>
      </c>
      <c r="F182" s="1">
        <v>1.4E-2</v>
      </c>
      <c r="G182" s="1">
        <v>6.8099999999999994E-2</v>
      </c>
      <c r="H182" s="1">
        <f t="shared" si="57"/>
        <v>4.8642857142857139</v>
      </c>
      <c r="J182" t="s">
        <v>8</v>
      </c>
      <c r="K182">
        <v>1</v>
      </c>
      <c r="L182">
        <v>0.9</v>
      </c>
      <c r="M182">
        <v>1.6500000000000001E-2</v>
      </c>
      <c r="N182">
        <v>1.54E-2</v>
      </c>
      <c r="O182" s="1">
        <v>1.4E-2</v>
      </c>
      <c r="P182" s="1">
        <v>6.3700000000000007E-2</v>
      </c>
      <c r="Q182" s="1">
        <f t="shared" si="58"/>
        <v>4.5500000000000007</v>
      </c>
      <c r="S182" t="s">
        <v>8</v>
      </c>
      <c r="T182">
        <v>1</v>
      </c>
      <c r="U182">
        <v>0.9</v>
      </c>
      <c r="V182">
        <v>1.6500000000000001E-2</v>
      </c>
      <c r="W182">
        <v>1.54E-2</v>
      </c>
      <c r="X182" s="1">
        <v>1.4E-2</v>
      </c>
      <c r="Y182" s="1">
        <v>6.4100000000000004E-2</v>
      </c>
      <c r="Z182" s="1">
        <f t="shared" si="59"/>
        <v>4.5785714285714292</v>
      </c>
      <c r="AB182" t="s">
        <v>8</v>
      </c>
      <c r="AC182">
        <v>1</v>
      </c>
      <c r="AD182">
        <v>0.9</v>
      </c>
      <c r="AE182">
        <v>1.6500000000000001E-2</v>
      </c>
      <c r="AF182">
        <v>1.54E-2</v>
      </c>
      <c r="AG182" s="1">
        <v>1.4E-2</v>
      </c>
      <c r="AH182" s="1">
        <v>6.8000000000000005E-2</v>
      </c>
      <c r="AI182" s="1">
        <f t="shared" si="60"/>
        <v>4.8571428571428577</v>
      </c>
      <c r="AT182" s="12">
        <f t="shared" si="55"/>
        <v>0</v>
      </c>
      <c r="AU182" s="7">
        <f t="shared" si="56"/>
        <v>6.666666666666668E-2</v>
      </c>
    </row>
    <row r="183" spans="1:47" x14ac:dyDescent="0.35">
      <c r="A183" s="17" t="s">
        <v>9</v>
      </c>
      <c r="B183">
        <v>0.1</v>
      </c>
      <c r="C183">
        <v>0.9</v>
      </c>
      <c r="D183">
        <v>6.9899999999999997E-3</v>
      </c>
      <c r="E183">
        <v>7.4799999999999997E-3</v>
      </c>
      <c r="F183" s="1">
        <v>6.3E-2</v>
      </c>
      <c r="G183" s="1">
        <v>-6.9800000000000001E-2</v>
      </c>
      <c r="H183" s="1">
        <f t="shared" si="57"/>
        <v>1.107936507936508</v>
      </c>
      <c r="J183" t="s">
        <v>9</v>
      </c>
      <c r="K183">
        <v>0.1</v>
      </c>
      <c r="L183">
        <v>0.9</v>
      </c>
      <c r="M183">
        <v>6.9899999999999997E-3</v>
      </c>
      <c r="N183">
        <v>7.45E-3</v>
      </c>
      <c r="O183" s="1">
        <v>6.3E-2</v>
      </c>
      <c r="P183" s="1">
        <v>-6.6500000000000004E-2</v>
      </c>
      <c r="Q183" s="1">
        <f t="shared" si="58"/>
        <v>1.0555555555555556</v>
      </c>
      <c r="S183" t="s">
        <v>9</v>
      </c>
      <c r="T183">
        <v>0.1</v>
      </c>
      <c r="U183">
        <v>0.9</v>
      </c>
      <c r="V183">
        <v>6.9899999999999997E-3</v>
      </c>
      <c r="W183">
        <v>7.4999999999999997E-3</v>
      </c>
      <c r="X183" s="1">
        <v>6.3E-2</v>
      </c>
      <c r="Y183" s="1">
        <v>-7.2800000000000004E-2</v>
      </c>
      <c r="Z183" s="1">
        <f t="shared" si="59"/>
        <v>1.1555555555555557</v>
      </c>
      <c r="AB183" t="s">
        <v>9</v>
      </c>
      <c r="AC183">
        <v>0.1</v>
      </c>
      <c r="AD183">
        <v>0.9</v>
      </c>
      <c r="AE183">
        <v>6.9899999999999997E-3</v>
      </c>
      <c r="AF183">
        <v>7.4700000000000001E-3</v>
      </c>
      <c r="AG183" s="1">
        <v>6.3E-2</v>
      </c>
      <c r="AH183" s="1">
        <v>-6.8500000000000005E-2</v>
      </c>
      <c r="AI183" s="1">
        <f t="shared" si="60"/>
        <v>1.0873015873015874</v>
      </c>
      <c r="AT183" s="12">
        <f t="shared" si="55"/>
        <v>2.7848374574797551E-3</v>
      </c>
      <c r="AU183" s="7">
        <f t="shared" si="56"/>
        <v>-6.9384835479256238E-2</v>
      </c>
    </row>
    <row r="184" spans="1:47" x14ac:dyDescent="0.35">
      <c r="A184" s="17" t="s">
        <v>9</v>
      </c>
      <c r="B184">
        <v>0.5</v>
      </c>
      <c r="C184">
        <v>0.9</v>
      </c>
      <c r="D184">
        <v>3.29E-3</v>
      </c>
      <c r="E184">
        <v>3.3500000000000001E-3</v>
      </c>
      <c r="F184" s="1">
        <v>5.5E-2</v>
      </c>
      <c r="G184" s="1">
        <v>-1.8599999999999998E-2</v>
      </c>
      <c r="H184" s="1">
        <f t="shared" si="57"/>
        <v>0.33818181818181814</v>
      </c>
      <c r="J184" t="s">
        <v>9</v>
      </c>
      <c r="K184">
        <v>0.5</v>
      </c>
      <c r="L184">
        <v>0.9</v>
      </c>
      <c r="M184">
        <v>3.29E-3</v>
      </c>
      <c r="N184">
        <v>3.3500000000000001E-3</v>
      </c>
      <c r="O184" s="1">
        <v>5.5E-2</v>
      </c>
      <c r="P184" s="1">
        <v>-1.8700000000000001E-2</v>
      </c>
      <c r="Q184" s="1">
        <f t="shared" si="58"/>
        <v>0.34</v>
      </c>
      <c r="S184" t="s">
        <v>9</v>
      </c>
      <c r="T184">
        <v>0.5</v>
      </c>
      <c r="U184">
        <v>0.9</v>
      </c>
      <c r="V184">
        <v>3.29E-3</v>
      </c>
      <c r="W184">
        <v>3.3300000000000001E-3</v>
      </c>
      <c r="X184" s="1">
        <v>5.5E-2</v>
      </c>
      <c r="Y184" s="1">
        <v>-1.2800000000000001E-2</v>
      </c>
      <c r="Z184" s="1">
        <f t="shared" si="59"/>
        <v>0.23272727272727273</v>
      </c>
      <c r="AB184" t="s">
        <v>9</v>
      </c>
      <c r="AC184">
        <v>0.5</v>
      </c>
      <c r="AD184">
        <v>0.9</v>
      </c>
      <c r="AE184">
        <v>3.29E-3</v>
      </c>
      <c r="AF184">
        <v>3.3400000000000001E-3</v>
      </c>
      <c r="AG184" s="1">
        <v>5.5E-2</v>
      </c>
      <c r="AH184" s="1">
        <v>-1.67E-2</v>
      </c>
      <c r="AI184" s="1">
        <f t="shared" si="60"/>
        <v>0.30363636363636365</v>
      </c>
      <c r="AT184" s="12">
        <f>STDEV(AO184,AF184,W184,N184,E184)/ AVERAGE(AO184,AF184,W184,N184,E184)</f>
        <v>2.8644042116868825E-3</v>
      </c>
      <c r="AU184" s="7">
        <f t="shared" si="56"/>
        <v>-1.5957446808510779E-2</v>
      </c>
    </row>
    <row r="185" spans="1:47" x14ac:dyDescent="0.35">
      <c r="A185" s="17" t="s">
        <v>9</v>
      </c>
      <c r="B185">
        <v>1</v>
      </c>
      <c r="C185">
        <v>0.9</v>
      </c>
      <c r="D185">
        <v>1.2099999999999999E-3</v>
      </c>
      <c r="E185">
        <v>1.1900000000000001E-3</v>
      </c>
      <c r="F185" s="1">
        <v>0.109</v>
      </c>
      <c r="G185" s="1">
        <v>1.7999999999999999E-2</v>
      </c>
      <c r="H185" s="1">
        <f t="shared" si="57"/>
        <v>0.16513761467889906</v>
      </c>
      <c r="J185" t="s">
        <v>9</v>
      </c>
      <c r="K185">
        <v>1</v>
      </c>
      <c r="L185">
        <v>0.9</v>
      </c>
      <c r="M185">
        <v>1.2099999999999999E-3</v>
      </c>
      <c r="N185">
        <v>1.1999999999999999E-3</v>
      </c>
      <c r="O185" s="1">
        <v>0.109</v>
      </c>
      <c r="P185" s="1">
        <v>1.2E-2</v>
      </c>
      <c r="Q185" s="1">
        <f t="shared" si="58"/>
        <v>0.11009174311926606</v>
      </c>
      <c r="S185" t="s">
        <v>9</v>
      </c>
      <c r="T185">
        <v>1</v>
      </c>
      <c r="U185">
        <v>0.9</v>
      </c>
      <c r="V185">
        <v>1.2099999999999999E-3</v>
      </c>
      <c r="W185">
        <v>1.1900000000000001E-3</v>
      </c>
      <c r="X185" s="1">
        <v>0.109</v>
      </c>
      <c r="Y185" s="1">
        <v>1.5299999999999999E-2</v>
      </c>
      <c r="Z185" s="1">
        <f t="shared" si="59"/>
        <v>0.14036697247706423</v>
      </c>
      <c r="AB185" t="s">
        <v>9</v>
      </c>
      <c r="AC185">
        <v>1</v>
      </c>
      <c r="AD185">
        <v>0.9</v>
      </c>
      <c r="AE185">
        <v>1.2099999999999999E-3</v>
      </c>
      <c r="AF185">
        <v>1.1800000000000001E-3</v>
      </c>
      <c r="AG185" s="1">
        <v>0.109</v>
      </c>
      <c r="AH185" s="1">
        <v>2.1399999999999999E-2</v>
      </c>
      <c r="AI185" s="1">
        <f t="shared" si="60"/>
        <v>0.19633027522935778</v>
      </c>
      <c r="AT185" s="15"/>
    </row>
    <row r="187" spans="1:47" x14ac:dyDescent="0.35">
      <c r="A187" s="6" t="s">
        <v>18</v>
      </c>
      <c r="B187" s="6"/>
      <c r="C187" s="6"/>
      <c r="D187" s="6"/>
      <c r="E187" s="6"/>
      <c r="F187" s="6"/>
      <c r="G187" s="6"/>
      <c r="H187" s="6"/>
      <c r="AN187" s="6" t="s">
        <v>18</v>
      </c>
      <c r="AO187" s="6"/>
      <c r="AP187" s="6"/>
      <c r="AQ187" s="6"/>
      <c r="AR187" s="6"/>
      <c r="AS187" s="6"/>
      <c r="AT187" s="6"/>
      <c r="AU187" s="6"/>
    </row>
    <row r="188" spans="1:47" x14ac:dyDescent="0.35">
      <c r="A188" s="17" t="s">
        <v>0</v>
      </c>
      <c r="B188" t="s">
        <v>1</v>
      </c>
      <c r="C188" t="s">
        <v>2</v>
      </c>
      <c r="D188" t="s">
        <v>3</v>
      </c>
      <c r="E188" t="s">
        <v>4</v>
      </c>
      <c r="F188" t="s">
        <v>5</v>
      </c>
      <c r="G188" t="s">
        <v>6</v>
      </c>
      <c r="J188" t="s">
        <v>0</v>
      </c>
      <c r="K188" t="s">
        <v>1</v>
      </c>
      <c r="L188" t="s">
        <v>2</v>
      </c>
      <c r="M188" t="s">
        <v>3</v>
      </c>
      <c r="N188" t="s">
        <v>4</v>
      </c>
      <c r="O188" t="s">
        <v>5</v>
      </c>
      <c r="P188" t="s">
        <v>6</v>
      </c>
      <c r="S188" t="s">
        <v>0</v>
      </c>
      <c r="T188" t="s">
        <v>1</v>
      </c>
      <c r="U188" t="s">
        <v>2</v>
      </c>
      <c r="V188" t="s">
        <v>3</v>
      </c>
      <c r="W188" t="s">
        <v>4</v>
      </c>
      <c r="X188" t="s">
        <v>5</v>
      </c>
      <c r="Y188" t="s">
        <v>6</v>
      </c>
      <c r="AB188" t="s">
        <v>0</v>
      </c>
      <c r="AC188" t="s">
        <v>1</v>
      </c>
      <c r="AD188" t="s">
        <v>2</v>
      </c>
      <c r="AE188" t="s">
        <v>3</v>
      </c>
      <c r="AF188" t="s">
        <v>4</v>
      </c>
      <c r="AG188" t="s">
        <v>5</v>
      </c>
      <c r="AH188" t="s">
        <v>6</v>
      </c>
      <c r="AK188" t="s">
        <v>0</v>
      </c>
      <c r="AL188" t="s">
        <v>1</v>
      </c>
      <c r="AM188" t="s">
        <v>2</v>
      </c>
      <c r="AN188" t="s">
        <v>3</v>
      </c>
      <c r="AO188" t="s">
        <v>4</v>
      </c>
      <c r="AP188" t="s">
        <v>5</v>
      </c>
      <c r="AQ188" t="s">
        <v>6</v>
      </c>
      <c r="AT188" s="12" t="e">
        <f t="shared" ref="AT188:AT205" si="61">STDEV(AO188,AF188,W188,N188,E188)/ AVERAGE(AO188,AF188,W188,N188,E188)</f>
        <v>#DIV/0!</v>
      </c>
    </row>
    <row r="189" spans="1:47" x14ac:dyDescent="0.35">
      <c r="A189" s="17" t="s">
        <v>7</v>
      </c>
      <c r="B189">
        <v>0.8</v>
      </c>
      <c r="C189">
        <v>0.2</v>
      </c>
      <c r="D189">
        <v>0.16200000000000001</v>
      </c>
      <c r="E189">
        <v>0.16200000000000001</v>
      </c>
      <c r="F189" s="1">
        <v>0</v>
      </c>
      <c r="G189" s="1">
        <v>8.9999999999999998E-4</v>
      </c>
      <c r="H189" s="1" t="e">
        <f>ABS(G189/F189)</f>
        <v>#DIV/0!</v>
      </c>
      <c r="J189" t="s">
        <v>7</v>
      </c>
      <c r="K189">
        <v>0.8</v>
      </c>
      <c r="L189">
        <v>0.2</v>
      </c>
      <c r="M189">
        <v>0.16200000000000001</v>
      </c>
      <c r="N189">
        <v>0.16200000000000001</v>
      </c>
      <c r="O189" s="1">
        <v>0</v>
      </c>
      <c r="P189" s="1">
        <v>5.9999999999999995E-4</v>
      </c>
      <c r="Q189" s="1" t="e">
        <f>ABS(P189/O189)</f>
        <v>#DIV/0!</v>
      </c>
      <c r="S189" t="s">
        <v>7</v>
      </c>
      <c r="T189">
        <v>0.8</v>
      </c>
      <c r="U189">
        <v>0.2</v>
      </c>
      <c r="V189">
        <v>0.16200000000000001</v>
      </c>
      <c r="W189">
        <v>0.16200000000000001</v>
      </c>
      <c r="X189" s="1">
        <v>0</v>
      </c>
      <c r="Y189" s="1">
        <v>5.9999999999999995E-4</v>
      </c>
      <c r="Z189" s="1" t="e">
        <f>ABS(Y189/X189)</f>
        <v>#DIV/0!</v>
      </c>
      <c r="AB189" t="s">
        <v>7</v>
      </c>
      <c r="AC189">
        <v>0.8</v>
      </c>
      <c r="AD189">
        <v>0.2</v>
      </c>
      <c r="AE189">
        <v>0.16200000000000001</v>
      </c>
      <c r="AF189">
        <v>0.16200000000000001</v>
      </c>
      <c r="AG189" s="1">
        <v>0</v>
      </c>
      <c r="AH189" s="1">
        <v>8.0000000000000004E-4</v>
      </c>
      <c r="AI189" s="1" t="e">
        <f>ABS(AH189/AG189)</f>
        <v>#DIV/0!</v>
      </c>
      <c r="AK189" t="s">
        <v>7</v>
      </c>
      <c r="AL189">
        <v>0.8</v>
      </c>
      <c r="AM189">
        <v>0.2</v>
      </c>
      <c r="AN189">
        <v>0.16200000000000001</v>
      </c>
      <c r="AO189">
        <v>0.16200000000000001</v>
      </c>
      <c r="AP189" s="1">
        <v>0</v>
      </c>
      <c r="AQ189" s="1">
        <v>1E-3</v>
      </c>
      <c r="AR189" s="1" t="e">
        <f>ABS(AQ189/AP189)</f>
        <v>#DIV/0!</v>
      </c>
      <c r="AT189" s="13">
        <f t="shared" si="61"/>
        <v>0</v>
      </c>
      <c r="AU189" s="8">
        <f>( D189 - AVERAGE(AO189,AF189,W189,N189,E189))/ D189</f>
        <v>0</v>
      </c>
    </row>
    <row r="190" spans="1:47" x14ac:dyDescent="0.35">
      <c r="A190" s="17" t="s">
        <v>7</v>
      </c>
      <c r="B190">
        <v>4</v>
      </c>
      <c r="C190">
        <v>0.2</v>
      </c>
      <c r="D190">
        <v>2.2699999999999999E-3</v>
      </c>
      <c r="E190">
        <v>2.2599999999999999E-3</v>
      </c>
      <c r="F190" s="1">
        <v>2E-3</v>
      </c>
      <c r="G190" s="1">
        <v>3.5000000000000001E-3</v>
      </c>
      <c r="H190" s="1">
        <f t="shared" ref="H190:H206" si="62">ABS(G190/F190)</f>
        <v>1.75</v>
      </c>
      <c r="J190" t="s">
        <v>7</v>
      </c>
      <c r="K190">
        <v>4</v>
      </c>
      <c r="L190">
        <v>0.2</v>
      </c>
      <c r="M190">
        <v>2.2699999999999999E-3</v>
      </c>
      <c r="N190">
        <v>2.2599999999999999E-3</v>
      </c>
      <c r="O190" s="1">
        <v>2E-3</v>
      </c>
      <c r="P190" s="1">
        <v>4.7999999999999996E-3</v>
      </c>
      <c r="Q190" s="1">
        <f t="shared" ref="Q190:Q206" si="63">ABS(P190/O190)</f>
        <v>2.4</v>
      </c>
      <c r="S190" t="s">
        <v>7</v>
      </c>
      <c r="T190">
        <v>4</v>
      </c>
      <c r="U190">
        <v>0.2</v>
      </c>
      <c r="V190">
        <v>2.2699999999999999E-3</v>
      </c>
      <c r="W190">
        <v>2.2599999999999999E-3</v>
      </c>
      <c r="X190" s="1">
        <v>2E-3</v>
      </c>
      <c r="Y190" s="1">
        <v>3.8999999999999998E-3</v>
      </c>
      <c r="Z190" s="1">
        <f t="shared" ref="Z190:Z206" si="64">ABS(Y190/X190)</f>
        <v>1.95</v>
      </c>
      <c r="AB190" t="s">
        <v>7</v>
      </c>
      <c r="AC190">
        <v>4</v>
      </c>
      <c r="AD190">
        <v>0.2</v>
      </c>
      <c r="AE190">
        <v>2.2699999999999999E-3</v>
      </c>
      <c r="AF190">
        <v>2.2599999999999999E-3</v>
      </c>
      <c r="AG190" s="1">
        <v>2E-3</v>
      </c>
      <c r="AH190" s="1">
        <v>3.0999999999999999E-3</v>
      </c>
      <c r="AI190" s="1">
        <f t="shared" ref="AI190:AI206" si="65">ABS(AH190/AG190)</f>
        <v>1.5499999999999998</v>
      </c>
      <c r="AK190" t="s">
        <v>7</v>
      </c>
      <c r="AL190">
        <v>4</v>
      </c>
      <c r="AM190">
        <v>0.2</v>
      </c>
      <c r="AN190">
        <v>2.2699999999999999E-3</v>
      </c>
      <c r="AO190">
        <v>2.2599999999999999E-3</v>
      </c>
      <c r="AP190" s="1">
        <v>2E-3</v>
      </c>
      <c r="AQ190" s="1">
        <v>5.4999999999999997E-3</v>
      </c>
      <c r="AR190" s="1">
        <f t="shared" ref="AR190:AR206" si="66">ABS(AQ190/AP190)</f>
        <v>2.75</v>
      </c>
      <c r="AT190" s="13">
        <f t="shared" si="61"/>
        <v>0</v>
      </c>
      <c r="AU190" s="8">
        <f t="shared" ref="AU190:AU206" si="67">( D190 - AVERAGE(AO190,AF190,W190,N190,E190))/ D190</f>
        <v>4.4052863436123465E-3</v>
      </c>
    </row>
    <row r="191" spans="1:47" x14ac:dyDescent="0.35">
      <c r="A191" s="17" t="s">
        <v>7</v>
      </c>
      <c r="B191">
        <v>8</v>
      </c>
      <c r="C191">
        <v>0.2</v>
      </c>
      <c r="D191">
        <v>1.2999999999999999E-5</v>
      </c>
      <c r="E191">
        <v>1.27E-5</v>
      </c>
      <c r="F191" s="1">
        <v>4.7E-2</v>
      </c>
      <c r="G191" s="1">
        <v>2.3800000000000002E-2</v>
      </c>
      <c r="H191" s="1">
        <f t="shared" si="62"/>
        <v>0.50638297872340432</v>
      </c>
      <c r="J191" t="s">
        <v>7</v>
      </c>
      <c r="K191">
        <v>8</v>
      </c>
      <c r="L191">
        <v>0.2</v>
      </c>
      <c r="M191">
        <v>1.2999999999999999E-5</v>
      </c>
      <c r="N191">
        <v>1.33E-5</v>
      </c>
      <c r="O191" s="1">
        <v>4.7E-2</v>
      </c>
      <c r="P191" s="1">
        <v>-2.5399999999999999E-2</v>
      </c>
      <c r="Q191" s="1">
        <f t="shared" si="63"/>
        <v>0.54042553191489362</v>
      </c>
      <c r="S191" t="s">
        <v>7</v>
      </c>
      <c r="T191">
        <v>8</v>
      </c>
      <c r="U191">
        <v>0.2</v>
      </c>
      <c r="V191">
        <v>1.2999999999999999E-5</v>
      </c>
      <c r="W191">
        <v>1.38E-5</v>
      </c>
      <c r="X191" s="1">
        <v>4.7E-2</v>
      </c>
      <c r="Y191" s="1">
        <v>-6.1499999999999999E-2</v>
      </c>
      <c r="Z191" s="1">
        <f t="shared" si="64"/>
        <v>1.3085106382978724</v>
      </c>
      <c r="AB191" t="s">
        <v>7</v>
      </c>
      <c r="AC191">
        <v>8</v>
      </c>
      <c r="AD191">
        <v>0.2</v>
      </c>
      <c r="AE191">
        <v>1.2999999999999999E-5</v>
      </c>
      <c r="AF191">
        <v>1.2799999999999999E-5</v>
      </c>
      <c r="AG191" s="1">
        <v>4.7E-2</v>
      </c>
      <c r="AH191" s="1">
        <v>1.3100000000000001E-2</v>
      </c>
      <c r="AI191" s="1">
        <f t="shared" si="65"/>
        <v>0.27872340425531916</v>
      </c>
      <c r="AK191" t="s">
        <v>7</v>
      </c>
      <c r="AL191">
        <v>8</v>
      </c>
      <c r="AM191">
        <v>0.2</v>
      </c>
      <c r="AN191">
        <v>1.2999999999999999E-5</v>
      </c>
      <c r="AO191">
        <v>1.2999999999999999E-5</v>
      </c>
      <c r="AP191" s="1">
        <v>4.7E-2</v>
      </c>
      <c r="AQ191" s="1">
        <v>-3.8E-3</v>
      </c>
      <c r="AR191" s="1">
        <f t="shared" si="66"/>
        <v>8.085106382978724E-2</v>
      </c>
      <c r="AT191" s="13">
        <f t="shared" si="61"/>
        <v>3.3829788142030713E-2</v>
      </c>
      <c r="AU191" s="8">
        <f t="shared" si="67"/>
        <v>-9.2307692307692733E-3</v>
      </c>
    </row>
    <row r="192" spans="1:47" x14ac:dyDescent="0.35">
      <c r="A192" s="17" t="s">
        <v>8</v>
      </c>
      <c r="B192">
        <v>0.8</v>
      </c>
      <c r="C192">
        <v>0.2</v>
      </c>
      <c r="D192">
        <v>9.6599999999999995E-4</v>
      </c>
      <c r="E192">
        <v>9.3899999999999995E-4</v>
      </c>
      <c r="F192" s="1">
        <v>2.3E-2</v>
      </c>
      <c r="G192" s="1">
        <v>2.7799999999999998E-2</v>
      </c>
      <c r="H192" s="1">
        <f t="shared" si="62"/>
        <v>1.2086956521739129</v>
      </c>
      <c r="J192" t="s">
        <v>8</v>
      </c>
      <c r="K192">
        <v>0.8</v>
      </c>
      <c r="L192">
        <v>0.2</v>
      </c>
      <c r="M192">
        <v>9.6599999999999995E-4</v>
      </c>
      <c r="N192">
        <v>9.3999999999999997E-4</v>
      </c>
      <c r="O192" s="1">
        <v>2.3E-2</v>
      </c>
      <c r="P192" s="1">
        <v>2.69E-2</v>
      </c>
      <c r="Q192" s="1">
        <f t="shared" si="63"/>
        <v>1.1695652173913045</v>
      </c>
      <c r="S192" t="s">
        <v>8</v>
      </c>
      <c r="T192">
        <v>0.8</v>
      </c>
      <c r="U192">
        <v>0.2</v>
      </c>
      <c r="V192">
        <v>9.6599999999999995E-4</v>
      </c>
      <c r="W192">
        <v>9.3199999999999999E-4</v>
      </c>
      <c r="X192" s="1">
        <v>2.3E-2</v>
      </c>
      <c r="Y192" s="1">
        <v>3.5400000000000001E-2</v>
      </c>
      <c r="Z192" s="1">
        <f t="shared" si="64"/>
        <v>1.5391304347826087</v>
      </c>
      <c r="AB192" t="s">
        <v>8</v>
      </c>
      <c r="AC192">
        <v>0.8</v>
      </c>
      <c r="AD192">
        <v>0.2</v>
      </c>
      <c r="AE192">
        <v>9.6599999999999995E-4</v>
      </c>
      <c r="AF192">
        <v>9.5100000000000002E-4</v>
      </c>
      <c r="AG192" s="1">
        <v>2.3E-2</v>
      </c>
      <c r="AH192" s="1">
        <v>1.5699999999999999E-2</v>
      </c>
      <c r="AI192" s="1">
        <f t="shared" si="65"/>
        <v>0.68260869565217386</v>
      </c>
      <c r="AK192" t="s">
        <v>8</v>
      </c>
      <c r="AL192">
        <v>0.8</v>
      </c>
      <c r="AM192">
        <v>0.2</v>
      </c>
      <c r="AN192">
        <v>9.6599999999999995E-4</v>
      </c>
      <c r="AO192">
        <v>9.4600000000000001E-4</v>
      </c>
      <c r="AP192" s="1">
        <v>2.3E-2</v>
      </c>
      <c r="AQ192" s="1">
        <v>2.1000000000000001E-2</v>
      </c>
      <c r="AR192" s="1">
        <f t="shared" si="66"/>
        <v>0.91304347826086962</v>
      </c>
      <c r="AT192" s="14">
        <f t="shared" si="61"/>
        <v>7.6804098265779901E-3</v>
      </c>
      <c r="AU192" s="9">
        <f t="shared" si="67"/>
        <v>2.5258799171842705E-2</v>
      </c>
    </row>
    <row r="193" spans="1:47" x14ac:dyDescent="0.35">
      <c r="A193" s="17" t="s">
        <v>8</v>
      </c>
      <c r="B193">
        <v>4</v>
      </c>
      <c r="C193">
        <v>0.2</v>
      </c>
      <c r="D193">
        <v>1.3699999999999999E-5</v>
      </c>
      <c r="E193">
        <v>1.22E-5</v>
      </c>
      <c r="F193" s="1">
        <v>6.3E-2</v>
      </c>
      <c r="G193" s="1">
        <v>0.108</v>
      </c>
      <c r="H193" s="1">
        <f t="shared" si="62"/>
        <v>1.7142857142857142</v>
      </c>
      <c r="J193" t="s">
        <v>8</v>
      </c>
      <c r="K193">
        <v>4</v>
      </c>
      <c r="L193">
        <v>0.2</v>
      </c>
      <c r="M193">
        <v>1.3699999999999999E-5</v>
      </c>
      <c r="N193">
        <v>1.4E-5</v>
      </c>
      <c r="O193" s="1">
        <v>6.3E-2</v>
      </c>
      <c r="P193" s="1">
        <v>-2.3400000000000001E-2</v>
      </c>
      <c r="Q193" s="1">
        <f t="shared" si="63"/>
        <v>0.37142857142857144</v>
      </c>
      <c r="S193" t="s">
        <v>8</v>
      </c>
      <c r="T193">
        <v>4</v>
      </c>
      <c r="U193">
        <v>0.2</v>
      </c>
      <c r="V193">
        <v>1.3699999999999999E-5</v>
      </c>
      <c r="W193">
        <v>1.3900000000000001E-5</v>
      </c>
      <c r="X193" s="1">
        <v>6.3E-2</v>
      </c>
      <c r="Y193" s="1">
        <v>-1.61E-2</v>
      </c>
      <c r="Z193" s="1">
        <f t="shared" si="64"/>
        <v>0.25555555555555554</v>
      </c>
      <c r="AB193" t="s">
        <v>8</v>
      </c>
      <c r="AC193">
        <v>4</v>
      </c>
      <c r="AD193">
        <v>0.2</v>
      </c>
      <c r="AE193">
        <v>1.3699999999999999E-5</v>
      </c>
      <c r="AF193">
        <v>1.2799999999999999E-5</v>
      </c>
      <c r="AG193" s="1">
        <v>6.3E-2</v>
      </c>
      <c r="AH193" s="1">
        <v>6.3500000000000001E-2</v>
      </c>
      <c r="AI193" s="1">
        <f t="shared" si="65"/>
        <v>1.0079365079365079</v>
      </c>
      <c r="AK193" t="s">
        <v>8</v>
      </c>
      <c r="AL193">
        <v>4</v>
      </c>
      <c r="AM193">
        <v>0.2</v>
      </c>
      <c r="AN193">
        <v>1.3699999999999999E-5</v>
      </c>
      <c r="AO193">
        <v>1.31E-5</v>
      </c>
      <c r="AP193" s="1">
        <v>6.3E-2</v>
      </c>
      <c r="AQ193" s="1">
        <v>4.3099999999999999E-2</v>
      </c>
      <c r="AR193" s="1">
        <f t="shared" si="66"/>
        <v>0.68412698412698414</v>
      </c>
      <c r="AT193" s="14">
        <f t="shared" si="61"/>
        <v>5.7446026091299639E-2</v>
      </c>
      <c r="AU193" s="9">
        <f t="shared" si="67"/>
        <v>3.6496350364963404E-2</v>
      </c>
    </row>
    <row r="194" spans="1:47" x14ac:dyDescent="0.35">
      <c r="A194" s="17" t="s">
        <v>8</v>
      </c>
      <c r="B194">
        <v>8</v>
      </c>
      <c r="C194">
        <v>0.2</v>
      </c>
      <c r="D194">
        <v>7.2800000000000003E-8</v>
      </c>
      <c r="E194">
        <v>4.9999999999999998E-8</v>
      </c>
      <c r="F194" s="1">
        <v>0.187</v>
      </c>
      <c r="G194" s="1">
        <v>0.31319999999999998</v>
      </c>
      <c r="H194" s="1">
        <f t="shared" si="62"/>
        <v>1.6748663101604278</v>
      </c>
      <c r="J194" t="s">
        <v>8</v>
      </c>
      <c r="K194">
        <v>8</v>
      </c>
      <c r="L194">
        <v>0.2</v>
      </c>
      <c r="M194">
        <v>7.2800000000000003E-8</v>
      </c>
      <c r="N194">
        <v>4.9999999999999998E-8</v>
      </c>
      <c r="O194" s="1">
        <v>0.187</v>
      </c>
      <c r="P194" s="1">
        <v>0.31319999999999998</v>
      </c>
      <c r="Q194" s="1">
        <f t="shared" si="63"/>
        <v>1.6748663101604278</v>
      </c>
      <c r="S194" t="s">
        <v>8</v>
      </c>
      <c r="T194">
        <v>8</v>
      </c>
      <c r="U194">
        <v>0.2</v>
      </c>
      <c r="V194">
        <v>7.2800000000000003E-8</v>
      </c>
      <c r="W194">
        <v>4.9999999999999998E-8</v>
      </c>
      <c r="X194" s="1">
        <v>0.187</v>
      </c>
      <c r="Y194" s="1">
        <v>0.31319999999999998</v>
      </c>
      <c r="Z194" s="1">
        <f t="shared" si="64"/>
        <v>1.6748663101604278</v>
      </c>
      <c r="AB194" t="s">
        <v>8</v>
      </c>
      <c r="AC194">
        <v>8</v>
      </c>
      <c r="AD194">
        <v>0.2</v>
      </c>
      <c r="AE194">
        <v>7.2800000000000003E-8</v>
      </c>
      <c r="AF194">
        <v>2.9999999999999997E-8</v>
      </c>
      <c r="AG194" s="1">
        <v>0.187</v>
      </c>
      <c r="AH194" s="1">
        <v>0.58789999999999998</v>
      </c>
      <c r="AI194" s="1">
        <f t="shared" si="65"/>
        <v>3.1438502673796789</v>
      </c>
      <c r="AK194" t="s">
        <v>8</v>
      </c>
      <c r="AL194">
        <v>8</v>
      </c>
      <c r="AM194">
        <v>0.2</v>
      </c>
      <c r="AN194">
        <v>7.2800000000000003E-8</v>
      </c>
      <c r="AO194">
        <v>1E-8</v>
      </c>
      <c r="AP194" s="1">
        <v>0.187</v>
      </c>
      <c r="AQ194" s="1">
        <v>0.86260000000000003</v>
      </c>
      <c r="AR194" s="1">
        <f t="shared" si="66"/>
        <v>4.6128342245989309</v>
      </c>
      <c r="AT194" s="14">
        <f t="shared" si="61"/>
        <v>0.47075115315785043</v>
      </c>
      <c r="AU194" s="9">
        <f t="shared" si="67"/>
        <v>0.4780219780219781</v>
      </c>
    </row>
    <row r="195" spans="1:47" x14ac:dyDescent="0.35">
      <c r="A195" s="17" t="s">
        <v>9</v>
      </c>
      <c r="B195">
        <v>0.8</v>
      </c>
      <c r="C195">
        <v>0.2</v>
      </c>
      <c r="D195">
        <v>5.4700000000000001E-5</v>
      </c>
      <c r="E195">
        <v>6.05E-5</v>
      </c>
      <c r="F195" s="1">
        <v>0.06</v>
      </c>
      <c r="G195" s="1">
        <v>-0.10680000000000001</v>
      </c>
      <c r="H195" s="1">
        <f t="shared" si="62"/>
        <v>1.7800000000000002</v>
      </c>
      <c r="J195" t="s">
        <v>9</v>
      </c>
      <c r="K195">
        <v>0.8</v>
      </c>
      <c r="L195">
        <v>0.2</v>
      </c>
      <c r="M195">
        <v>5.4700000000000001E-5</v>
      </c>
      <c r="N195">
        <v>6.0999999999999999E-5</v>
      </c>
      <c r="O195" s="1">
        <v>0.06</v>
      </c>
      <c r="P195" s="1">
        <v>-0.1148</v>
      </c>
      <c r="Q195" s="1">
        <f t="shared" si="63"/>
        <v>1.9133333333333333</v>
      </c>
      <c r="S195" t="s">
        <v>9</v>
      </c>
      <c r="T195">
        <v>0.8</v>
      </c>
      <c r="U195">
        <v>0.2</v>
      </c>
      <c r="V195">
        <v>5.4700000000000001E-5</v>
      </c>
      <c r="W195">
        <v>5.8999999999999998E-5</v>
      </c>
      <c r="X195" s="1">
        <v>0.06</v>
      </c>
      <c r="Y195" s="1">
        <v>-7.8799999999999995E-2</v>
      </c>
      <c r="Z195" s="1">
        <f t="shared" si="64"/>
        <v>1.3133333333333332</v>
      </c>
      <c r="AB195" t="s">
        <v>9</v>
      </c>
      <c r="AC195">
        <v>0.8</v>
      </c>
      <c r="AD195">
        <v>0.2</v>
      </c>
      <c r="AE195">
        <v>5.4700000000000001E-5</v>
      </c>
      <c r="AF195">
        <v>5.9500000000000003E-5</v>
      </c>
      <c r="AG195" s="1">
        <v>0.06</v>
      </c>
      <c r="AH195" s="1">
        <v>-8.72E-2</v>
      </c>
      <c r="AI195" s="1">
        <f t="shared" si="65"/>
        <v>1.4533333333333334</v>
      </c>
      <c r="AK195" t="s">
        <v>9</v>
      </c>
      <c r="AL195">
        <v>0.8</v>
      </c>
      <c r="AM195">
        <v>0.2</v>
      </c>
      <c r="AN195">
        <v>5.4700000000000001E-5</v>
      </c>
      <c r="AO195">
        <v>5.9599999999999999E-5</v>
      </c>
      <c r="AP195" s="1">
        <v>0.06</v>
      </c>
      <c r="AQ195" s="1">
        <v>-8.9399999999999993E-2</v>
      </c>
      <c r="AR195" s="1">
        <f t="shared" si="66"/>
        <v>1.49</v>
      </c>
      <c r="AT195" s="12">
        <f t="shared" si="61"/>
        <v>1.3527292476074397E-2</v>
      </c>
      <c r="AU195" s="7">
        <f t="shared" si="67"/>
        <v>-9.5429616087751259E-2</v>
      </c>
    </row>
    <row r="196" spans="1:47" x14ac:dyDescent="0.35">
      <c r="A196" s="17" t="s">
        <v>9</v>
      </c>
      <c r="B196">
        <v>4</v>
      </c>
      <c r="C196">
        <v>0.2</v>
      </c>
      <c r="D196">
        <v>6.2399999999999998E-7</v>
      </c>
      <c r="E196">
        <v>1.1799999999999999E-6</v>
      </c>
      <c r="F196" s="1">
        <v>0.35499999999999998</v>
      </c>
      <c r="G196" s="1">
        <v>-0.89100000000000001</v>
      </c>
      <c r="H196" s="1">
        <f t="shared" si="62"/>
        <v>2.5098591549295777</v>
      </c>
      <c r="J196" t="s">
        <v>9</v>
      </c>
      <c r="K196">
        <v>4</v>
      </c>
      <c r="L196">
        <v>0.2</v>
      </c>
      <c r="M196">
        <v>6.2399999999999998E-7</v>
      </c>
      <c r="N196">
        <v>9.9000000000000005E-7</v>
      </c>
      <c r="O196" s="1">
        <v>0.35499999999999998</v>
      </c>
      <c r="P196" s="1">
        <v>-0.58650000000000002</v>
      </c>
      <c r="Q196" s="1">
        <f t="shared" si="63"/>
        <v>1.6521126760563383</v>
      </c>
      <c r="S196" t="s">
        <v>9</v>
      </c>
      <c r="T196">
        <v>4</v>
      </c>
      <c r="U196">
        <v>0.2</v>
      </c>
      <c r="V196">
        <v>6.2399999999999998E-7</v>
      </c>
      <c r="W196">
        <v>7.6000000000000003E-7</v>
      </c>
      <c r="X196" s="1">
        <v>0.35499999999999998</v>
      </c>
      <c r="Y196" s="1">
        <v>-0.21790000000000001</v>
      </c>
      <c r="Z196" s="1">
        <f t="shared" si="64"/>
        <v>0.61380281690140848</v>
      </c>
      <c r="AB196" t="s">
        <v>9</v>
      </c>
      <c r="AC196">
        <v>4</v>
      </c>
      <c r="AD196">
        <v>0.2</v>
      </c>
      <c r="AE196">
        <v>6.2399999999999998E-7</v>
      </c>
      <c r="AF196">
        <v>6.0999999999999998E-7</v>
      </c>
      <c r="AG196" s="1">
        <v>0.35499999999999998</v>
      </c>
      <c r="AH196" s="1">
        <v>2.24E-2</v>
      </c>
      <c r="AI196" s="1">
        <f t="shared" si="65"/>
        <v>6.3098591549295771E-2</v>
      </c>
      <c r="AK196" t="s">
        <v>9</v>
      </c>
      <c r="AL196">
        <v>4</v>
      </c>
      <c r="AM196">
        <v>0.2</v>
      </c>
      <c r="AN196">
        <v>6.2399999999999998E-7</v>
      </c>
      <c r="AO196">
        <v>8.1999999999999998E-7</v>
      </c>
      <c r="AP196" s="1">
        <v>0.35499999999999998</v>
      </c>
      <c r="AQ196" s="1">
        <v>-0.31409999999999999</v>
      </c>
      <c r="AR196" s="1">
        <f t="shared" si="66"/>
        <v>0.88478873239436617</v>
      </c>
      <c r="AT196" s="12">
        <f t="shared" si="61"/>
        <v>0.25169340623703962</v>
      </c>
      <c r="AU196" s="7">
        <f t="shared" si="67"/>
        <v>-0.39743589743589747</v>
      </c>
    </row>
    <row r="197" spans="1:47" x14ac:dyDescent="0.35">
      <c r="A197" s="17" t="s">
        <v>9</v>
      </c>
      <c r="B197">
        <v>8</v>
      </c>
      <c r="C197">
        <v>0.2</v>
      </c>
      <c r="D197">
        <v>4.0199999999999998E-9</v>
      </c>
      <c r="E197">
        <v>2E-8</v>
      </c>
      <c r="F197" s="1">
        <v>0.248</v>
      </c>
      <c r="G197" s="1">
        <v>-3.9750999999999999</v>
      </c>
      <c r="H197" s="1">
        <f t="shared" si="62"/>
        <v>16.028629032258063</v>
      </c>
      <c r="J197" t="s">
        <v>9</v>
      </c>
      <c r="K197">
        <v>8</v>
      </c>
      <c r="L197">
        <v>0.2</v>
      </c>
      <c r="M197">
        <v>4.0199999999999998E-9</v>
      </c>
      <c r="N197">
        <v>0</v>
      </c>
      <c r="O197" s="1">
        <v>0.248</v>
      </c>
      <c r="P197" s="1">
        <v>1</v>
      </c>
      <c r="Q197" s="1">
        <f t="shared" si="63"/>
        <v>4.032258064516129</v>
      </c>
      <c r="S197" t="s">
        <v>9</v>
      </c>
      <c r="T197">
        <v>8</v>
      </c>
      <c r="U197">
        <v>0.2</v>
      </c>
      <c r="V197">
        <v>4.0199999999999998E-9</v>
      </c>
      <c r="W197">
        <v>0</v>
      </c>
      <c r="X197" s="1">
        <v>0.248</v>
      </c>
      <c r="Y197" s="1">
        <v>1</v>
      </c>
      <c r="Z197" s="1">
        <f t="shared" si="64"/>
        <v>4.032258064516129</v>
      </c>
      <c r="AB197" t="s">
        <v>9</v>
      </c>
      <c r="AC197">
        <v>8</v>
      </c>
      <c r="AD197">
        <v>0.2</v>
      </c>
      <c r="AE197">
        <v>4.0199999999999998E-9</v>
      </c>
      <c r="AF197">
        <v>0</v>
      </c>
      <c r="AG197" s="1">
        <v>0.248</v>
      </c>
      <c r="AH197" s="1">
        <v>1</v>
      </c>
      <c r="AI197" s="1">
        <f t="shared" si="65"/>
        <v>4.032258064516129</v>
      </c>
      <c r="AK197" t="s">
        <v>9</v>
      </c>
      <c r="AL197">
        <v>8</v>
      </c>
      <c r="AM197">
        <v>0.2</v>
      </c>
      <c r="AN197">
        <v>4.0199999999999998E-9</v>
      </c>
      <c r="AO197">
        <v>0</v>
      </c>
      <c r="AP197" s="1">
        <v>0.248</v>
      </c>
      <c r="AQ197" s="1">
        <v>1</v>
      </c>
      <c r="AR197" s="1">
        <f t="shared" si="66"/>
        <v>4.032258064516129</v>
      </c>
      <c r="AT197" s="12">
        <f t="shared" si="61"/>
        <v>2.2360679774997898</v>
      </c>
      <c r="AU197" s="7">
        <f t="shared" si="67"/>
        <v>4.9751243781093329E-3</v>
      </c>
    </row>
    <row r="198" spans="1:47" x14ac:dyDescent="0.35">
      <c r="A198" s="17" t="s">
        <v>7</v>
      </c>
      <c r="B198">
        <v>0.1</v>
      </c>
      <c r="C198">
        <v>0.9</v>
      </c>
      <c r="D198">
        <v>0.41299999999999998</v>
      </c>
      <c r="E198">
        <v>0.41399999999999998</v>
      </c>
      <c r="F198" s="1">
        <v>1E-3</v>
      </c>
      <c r="G198" s="1">
        <v>-1.2999999999999999E-3</v>
      </c>
      <c r="H198" s="1">
        <f t="shared" si="62"/>
        <v>1.2999999999999998</v>
      </c>
      <c r="J198" t="s">
        <v>7</v>
      </c>
      <c r="K198">
        <v>0.1</v>
      </c>
      <c r="L198">
        <v>0.9</v>
      </c>
      <c r="M198">
        <v>0.41299999999999998</v>
      </c>
      <c r="N198">
        <v>0.41399999999999998</v>
      </c>
      <c r="O198" s="1">
        <v>1E-3</v>
      </c>
      <c r="P198" s="1">
        <v>-1.4E-3</v>
      </c>
      <c r="Q198" s="1">
        <f t="shared" si="63"/>
        <v>1.4</v>
      </c>
      <c r="S198" t="s">
        <v>7</v>
      </c>
      <c r="T198">
        <v>0.1</v>
      </c>
      <c r="U198">
        <v>0.9</v>
      </c>
      <c r="V198">
        <v>0.41299999999999998</v>
      </c>
      <c r="W198">
        <v>0.41399999999999998</v>
      </c>
      <c r="X198" s="1">
        <v>1E-3</v>
      </c>
      <c r="Y198" s="1">
        <v>-1.5E-3</v>
      </c>
      <c r="Z198" s="1">
        <f t="shared" si="64"/>
        <v>1.5</v>
      </c>
      <c r="AB198" t="s">
        <v>7</v>
      </c>
      <c r="AC198">
        <v>0.1</v>
      </c>
      <c r="AD198">
        <v>0.9</v>
      </c>
      <c r="AE198">
        <v>0.41299999999999998</v>
      </c>
      <c r="AF198">
        <v>0.41399999999999998</v>
      </c>
      <c r="AG198" s="1">
        <v>1E-3</v>
      </c>
      <c r="AH198" s="1">
        <v>-1.4E-3</v>
      </c>
      <c r="AI198" s="1">
        <f t="shared" si="65"/>
        <v>1.4</v>
      </c>
      <c r="AK198" t="s">
        <v>7</v>
      </c>
      <c r="AL198">
        <v>0.1</v>
      </c>
      <c r="AM198">
        <v>0.9</v>
      </c>
      <c r="AN198">
        <v>0.41299999999999998</v>
      </c>
      <c r="AO198">
        <v>0.41399999999999998</v>
      </c>
      <c r="AP198" s="1">
        <v>1E-3</v>
      </c>
      <c r="AQ198" s="1">
        <v>-1.5E-3</v>
      </c>
      <c r="AR198" s="1">
        <f t="shared" si="66"/>
        <v>1.5</v>
      </c>
      <c r="AT198" s="13">
        <f t="shared" si="61"/>
        <v>0</v>
      </c>
      <c r="AU198" s="8">
        <f t="shared" si="67"/>
        <v>-2.421307506053271E-3</v>
      </c>
    </row>
    <row r="199" spans="1:47" x14ac:dyDescent="0.35">
      <c r="A199" s="17" t="s">
        <v>7</v>
      </c>
      <c r="B199">
        <v>0.5</v>
      </c>
      <c r="C199">
        <v>0.9</v>
      </c>
      <c r="D199">
        <v>0.187</v>
      </c>
      <c r="E199">
        <v>0.184</v>
      </c>
      <c r="F199" s="1">
        <v>5.0000000000000001E-3</v>
      </c>
      <c r="G199" s="1">
        <v>1.67E-2</v>
      </c>
      <c r="H199" s="1">
        <f t="shared" si="62"/>
        <v>3.34</v>
      </c>
      <c r="J199" t="s">
        <v>7</v>
      </c>
      <c r="K199">
        <v>0.5</v>
      </c>
      <c r="L199">
        <v>0.9</v>
      </c>
      <c r="M199">
        <v>0.187</v>
      </c>
      <c r="N199">
        <v>0.184</v>
      </c>
      <c r="O199" s="1">
        <v>5.0000000000000001E-3</v>
      </c>
      <c r="P199" s="1">
        <v>1.6400000000000001E-2</v>
      </c>
      <c r="Q199" s="1">
        <f t="shared" si="63"/>
        <v>3.2800000000000002</v>
      </c>
      <c r="S199" t="s">
        <v>7</v>
      </c>
      <c r="T199">
        <v>0.5</v>
      </c>
      <c r="U199">
        <v>0.9</v>
      </c>
      <c r="V199">
        <v>0.187</v>
      </c>
      <c r="W199">
        <v>0.184</v>
      </c>
      <c r="X199" s="1">
        <v>5.0000000000000001E-3</v>
      </c>
      <c r="Y199" s="1">
        <v>1.6500000000000001E-2</v>
      </c>
      <c r="Z199" s="1">
        <f t="shared" si="64"/>
        <v>3.3000000000000003</v>
      </c>
      <c r="AB199" t="s">
        <v>7</v>
      </c>
      <c r="AC199">
        <v>0.5</v>
      </c>
      <c r="AD199">
        <v>0.9</v>
      </c>
      <c r="AE199">
        <v>0.187</v>
      </c>
      <c r="AF199">
        <v>0.184</v>
      </c>
      <c r="AG199" s="1">
        <v>5.0000000000000001E-3</v>
      </c>
      <c r="AH199" s="1">
        <v>1.7000000000000001E-2</v>
      </c>
      <c r="AI199" s="1">
        <f t="shared" si="65"/>
        <v>3.4000000000000004</v>
      </c>
      <c r="AK199" t="s">
        <v>7</v>
      </c>
      <c r="AL199">
        <v>0.5</v>
      </c>
      <c r="AM199">
        <v>0.9</v>
      </c>
      <c r="AN199">
        <v>0.187</v>
      </c>
      <c r="AO199">
        <v>0.184</v>
      </c>
      <c r="AP199" s="1">
        <v>5.0000000000000001E-3</v>
      </c>
      <c r="AQ199" s="1">
        <v>1.67E-2</v>
      </c>
      <c r="AR199" s="1">
        <f t="shared" si="66"/>
        <v>3.34</v>
      </c>
      <c r="AT199" s="13">
        <f t="shared" si="61"/>
        <v>0</v>
      </c>
      <c r="AU199" s="8">
        <f t="shared" si="67"/>
        <v>1.6042780748663117E-2</v>
      </c>
    </row>
    <row r="200" spans="1:47" x14ac:dyDescent="0.35">
      <c r="A200" s="17" t="s">
        <v>7</v>
      </c>
      <c r="B200">
        <v>1</v>
      </c>
      <c r="C200">
        <v>0.9</v>
      </c>
      <c r="D200">
        <v>6.8500000000000005E-2</v>
      </c>
      <c r="E200">
        <v>6.6199999999999995E-2</v>
      </c>
      <c r="F200" s="1">
        <v>0.01</v>
      </c>
      <c r="G200" s="1">
        <v>3.3500000000000002E-2</v>
      </c>
      <c r="H200" s="1">
        <f t="shared" si="62"/>
        <v>3.35</v>
      </c>
      <c r="J200" t="s">
        <v>7</v>
      </c>
      <c r="K200">
        <v>1</v>
      </c>
      <c r="L200">
        <v>0.9</v>
      </c>
      <c r="M200">
        <v>6.8500000000000005E-2</v>
      </c>
      <c r="N200">
        <v>6.6199999999999995E-2</v>
      </c>
      <c r="O200" s="1">
        <v>0.01</v>
      </c>
      <c r="P200" s="1">
        <v>3.32E-2</v>
      </c>
      <c r="Q200" s="1">
        <f t="shared" si="63"/>
        <v>3.32</v>
      </c>
      <c r="S200" t="s">
        <v>7</v>
      </c>
      <c r="T200">
        <v>1</v>
      </c>
      <c r="U200">
        <v>0.9</v>
      </c>
      <c r="V200">
        <v>6.8500000000000005E-2</v>
      </c>
      <c r="W200">
        <v>6.6199999999999995E-2</v>
      </c>
      <c r="X200" s="1">
        <v>0.01</v>
      </c>
      <c r="Y200" s="1">
        <v>3.3399999999999999E-2</v>
      </c>
      <c r="Z200" s="1">
        <f t="shared" si="64"/>
        <v>3.34</v>
      </c>
      <c r="AB200" t="s">
        <v>7</v>
      </c>
      <c r="AC200">
        <v>1</v>
      </c>
      <c r="AD200">
        <v>0.9</v>
      </c>
      <c r="AE200">
        <v>6.8500000000000005E-2</v>
      </c>
      <c r="AF200">
        <v>6.6199999999999995E-2</v>
      </c>
      <c r="AG200" s="1">
        <v>0.01</v>
      </c>
      <c r="AH200" s="1">
        <v>3.4000000000000002E-2</v>
      </c>
      <c r="AI200" s="1">
        <f t="shared" si="65"/>
        <v>3.4000000000000004</v>
      </c>
      <c r="AK200" t="s">
        <v>7</v>
      </c>
      <c r="AL200">
        <v>1</v>
      </c>
      <c r="AM200">
        <v>0.9</v>
      </c>
      <c r="AN200">
        <v>6.8500000000000005E-2</v>
      </c>
      <c r="AO200">
        <v>6.6199999999999995E-2</v>
      </c>
      <c r="AP200" s="1">
        <v>0.01</v>
      </c>
      <c r="AQ200" s="1">
        <v>3.3500000000000002E-2</v>
      </c>
      <c r="AR200" s="1">
        <f t="shared" si="66"/>
        <v>3.35</v>
      </c>
      <c r="AT200" s="13">
        <f t="shared" si="61"/>
        <v>0</v>
      </c>
      <c r="AU200" s="8">
        <f t="shared" si="67"/>
        <v>3.3576642335766571E-2</v>
      </c>
    </row>
    <row r="201" spans="1:47" x14ac:dyDescent="0.35">
      <c r="A201" s="17" t="s">
        <v>8</v>
      </c>
      <c r="B201">
        <v>0.1</v>
      </c>
      <c r="C201">
        <v>0.9</v>
      </c>
      <c r="D201">
        <v>9.3100000000000002E-2</v>
      </c>
      <c r="E201">
        <v>9.2799999999999994E-2</v>
      </c>
      <c r="F201" s="1">
        <v>2.1000000000000001E-2</v>
      </c>
      <c r="G201" s="1">
        <v>3.5999999999999999E-3</v>
      </c>
      <c r="H201" s="1">
        <f t="shared" si="62"/>
        <v>0.1714285714285714</v>
      </c>
      <c r="J201" t="s">
        <v>8</v>
      </c>
      <c r="K201">
        <v>0.1</v>
      </c>
      <c r="L201">
        <v>0.9</v>
      </c>
      <c r="M201">
        <v>9.3100000000000002E-2</v>
      </c>
      <c r="N201">
        <v>9.2799999999999994E-2</v>
      </c>
      <c r="O201" s="1">
        <v>2.1000000000000001E-2</v>
      </c>
      <c r="P201" s="1">
        <v>2.8E-3</v>
      </c>
      <c r="Q201" s="1">
        <f t="shared" si="63"/>
        <v>0.13333333333333333</v>
      </c>
      <c r="S201" t="s">
        <v>8</v>
      </c>
      <c r="T201">
        <v>0.1</v>
      </c>
      <c r="U201">
        <v>0.9</v>
      </c>
      <c r="V201">
        <v>9.3100000000000002E-2</v>
      </c>
      <c r="W201">
        <v>9.2799999999999994E-2</v>
      </c>
      <c r="X201" s="1">
        <v>2.1000000000000001E-2</v>
      </c>
      <c r="Y201" s="1">
        <v>3.0999999999999999E-3</v>
      </c>
      <c r="Z201" s="1">
        <f t="shared" si="64"/>
        <v>0.14761904761904759</v>
      </c>
      <c r="AB201" t="s">
        <v>8</v>
      </c>
      <c r="AC201">
        <v>0.1</v>
      </c>
      <c r="AD201">
        <v>0.9</v>
      </c>
      <c r="AE201">
        <v>9.3100000000000002E-2</v>
      </c>
      <c r="AF201">
        <v>9.2999999999999999E-2</v>
      </c>
      <c r="AG201" s="1">
        <v>2.1000000000000001E-2</v>
      </c>
      <c r="AH201" s="1">
        <v>1.6000000000000001E-3</v>
      </c>
      <c r="AI201" s="1">
        <f t="shared" si="65"/>
        <v>7.6190476190476183E-2</v>
      </c>
      <c r="AK201" t="s">
        <v>8</v>
      </c>
      <c r="AL201">
        <v>0.1</v>
      </c>
      <c r="AM201">
        <v>0.9</v>
      </c>
      <c r="AN201">
        <v>9.3100000000000002E-2</v>
      </c>
      <c r="AO201">
        <v>9.2799999999999994E-2</v>
      </c>
      <c r="AP201" s="1">
        <v>2.1000000000000001E-2</v>
      </c>
      <c r="AQ201" s="1">
        <v>2.8999999999999998E-3</v>
      </c>
      <c r="AR201" s="1">
        <f t="shared" si="66"/>
        <v>0.13809523809523808</v>
      </c>
      <c r="AT201" s="14">
        <f t="shared" si="61"/>
        <v>9.634071423954561E-4</v>
      </c>
      <c r="AU201" s="9">
        <f t="shared" si="67"/>
        <v>2.7926960257788425E-3</v>
      </c>
    </row>
    <row r="202" spans="1:47" x14ac:dyDescent="0.35">
      <c r="A202" s="17" t="s">
        <v>8</v>
      </c>
      <c r="B202">
        <v>0.5</v>
      </c>
      <c r="C202">
        <v>0.9</v>
      </c>
      <c r="D202">
        <v>4.6300000000000001E-2</v>
      </c>
      <c r="E202">
        <v>4.4900000000000002E-2</v>
      </c>
      <c r="F202" s="1">
        <v>1.7000000000000001E-2</v>
      </c>
      <c r="G202" s="1">
        <v>2.9600000000000001E-2</v>
      </c>
      <c r="H202" s="1">
        <f t="shared" si="62"/>
        <v>1.7411764705882353</v>
      </c>
      <c r="J202" t="s">
        <v>8</v>
      </c>
      <c r="K202">
        <v>0.5</v>
      </c>
      <c r="L202">
        <v>0.9</v>
      </c>
      <c r="M202">
        <v>4.6300000000000001E-2</v>
      </c>
      <c r="N202">
        <v>4.48E-2</v>
      </c>
      <c r="O202" s="1">
        <v>1.7000000000000001E-2</v>
      </c>
      <c r="P202" s="1">
        <v>3.1699999999999999E-2</v>
      </c>
      <c r="Q202" s="1">
        <f t="shared" si="63"/>
        <v>1.864705882352941</v>
      </c>
      <c r="S202" t="s">
        <v>8</v>
      </c>
      <c r="T202">
        <v>0.5</v>
      </c>
      <c r="U202">
        <v>0.9</v>
      </c>
      <c r="V202">
        <v>4.6300000000000001E-2</v>
      </c>
      <c r="W202">
        <v>4.4900000000000002E-2</v>
      </c>
      <c r="X202" s="1">
        <v>1.7000000000000001E-2</v>
      </c>
      <c r="Y202" s="1">
        <v>2.9899999999999999E-2</v>
      </c>
      <c r="Z202" s="1">
        <f t="shared" si="64"/>
        <v>1.7588235294117645</v>
      </c>
      <c r="AB202" t="s">
        <v>8</v>
      </c>
      <c r="AC202">
        <v>0.5</v>
      </c>
      <c r="AD202">
        <v>0.9</v>
      </c>
      <c r="AE202">
        <v>4.6300000000000001E-2</v>
      </c>
      <c r="AF202">
        <v>4.4900000000000002E-2</v>
      </c>
      <c r="AG202" s="1">
        <v>1.7000000000000001E-2</v>
      </c>
      <c r="AH202" s="1">
        <v>2.9899999999999999E-2</v>
      </c>
      <c r="AI202" s="1">
        <f t="shared" si="65"/>
        <v>1.7588235294117645</v>
      </c>
      <c r="AK202" t="s">
        <v>8</v>
      </c>
      <c r="AL202">
        <v>0.5</v>
      </c>
      <c r="AM202">
        <v>0.9</v>
      </c>
      <c r="AN202">
        <v>4.6300000000000001E-2</v>
      </c>
      <c r="AO202">
        <v>4.4900000000000002E-2</v>
      </c>
      <c r="AP202" s="1">
        <v>1.7000000000000001E-2</v>
      </c>
      <c r="AQ202" s="1">
        <v>3.04E-2</v>
      </c>
      <c r="AR202" s="1">
        <f t="shared" si="66"/>
        <v>1.7882352941176469</v>
      </c>
      <c r="AT202" s="14">
        <f t="shared" si="61"/>
        <v>9.9646523061490779E-4</v>
      </c>
      <c r="AU202" s="9">
        <f t="shared" si="67"/>
        <v>3.0669546436285045E-2</v>
      </c>
    </row>
    <row r="203" spans="1:47" x14ac:dyDescent="0.35">
      <c r="A203" s="17" t="s">
        <v>8</v>
      </c>
      <c r="B203">
        <v>1</v>
      </c>
      <c r="C203">
        <v>0.9</v>
      </c>
      <c r="D203">
        <v>1.6500000000000001E-2</v>
      </c>
      <c r="E203">
        <v>1.5599999999999999E-2</v>
      </c>
      <c r="F203" s="1">
        <v>1.4E-2</v>
      </c>
      <c r="G203" s="1">
        <v>5.2999999999999999E-2</v>
      </c>
      <c r="H203" s="1">
        <f t="shared" si="62"/>
        <v>3.7857142857142856</v>
      </c>
      <c r="J203" t="s">
        <v>8</v>
      </c>
      <c r="K203">
        <v>1</v>
      </c>
      <c r="L203">
        <v>0.9</v>
      </c>
      <c r="M203">
        <v>1.6500000000000001E-2</v>
      </c>
      <c r="N203">
        <v>1.5599999999999999E-2</v>
      </c>
      <c r="O203" s="1">
        <v>1.4E-2</v>
      </c>
      <c r="P203" s="1">
        <v>5.4399999999999997E-2</v>
      </c>
      <c r="Q203" s="1">
        <f t="shared" si="63"/>
        <v>3.8857142857142852</v>
      </c>
      <c r="S203" t="s">
        <v>8</v>
      </c>
      <c r="T203">
        <v>1</v>
      </c>
      <c r="U203">
        <v>0.9</v>
      </c>
      <c r="V203">
        <v>1.6500000000000001E-2</v>
      </c>
      <c r="W203">
        <v>1.5599999999999999E-2</v>
      </c>
      <c r="X203" s="1">
        <v>1.4E-2</v>
      </c>
      <c r="Y203" s="1">
        <v>5.4100000000000002E-2</v>
      </c>
      <c r="Z203" s="1">
        <f t="shared" si="64"/>
        <v>3.8642857142857143</v>
      </c>
      <c r="AB203" t="s">
        <v>8</v>
      </c>
      <c r="AC203">
        <v>1</v>
      </c>
      <c r="AD203">
        <v>0.9</v>
      </c>
      <c r="AE203">
        <v>1.6500000000000001E-2</v>
      </c>
      <c r="AF203">
        <v>1.55E-2</v>
      </c>
      <c r="AG203" s="1">
        <v>1.4E-2</v>
      </c>
      <c r="AH203" s="1">
        <v>5.9200000000000003E-2</v>
      </c>
      <c r="AI203" s="1">
        <f t="shared" si="65"/>
        <v>4.2285714285714286</v>
      </c>
      <c r="AK203" t="s">
        <v>8</v>
      </c>
      <c r="AL203">
        <v>1</v>
      </c>
      <c r="AM203">
        <v>0.9</v>
      </c>
      <c r="AN203">
        <v>1.6500000000000001E-2</v>
      </c>
      <c r="AO203">
        <v>1.5599999999999999E-2</v>
      </c>
      <c r="AP203" s="1">
        <v>1.4E-2</v>
      </c>
      <c r="AQ203" s="1">
        <v>5.5399999999999998E-2</v>
      </c>
      <c r="AR203" s="1">
        <f t="shared" si="66"/>
        <v>3.9571428571428569</v>
      </c>
      <c r="AT203" s="14">
        <f t="shared" si="61"/>
        <v>2.8704338607185831E-3</v>
      </c>
      <c r="AU203" s="9">
        <f t="shared" si="67"/>
        <v>5.5757575757575797E-2</v>
      </c>
    </row>
    <row r="204" spans="1:47" x14ac:dyDescent="0.35">
      <c r="A204" s="17" t="s">
        <v>9</v>
      </c>
      <c r="B204">
        <v>0.1</v>
      </c>
      <c r="C204">
        <v>0.9</v>
      </c>
      <c r="D204">
        <v>6.9899999999999997E-3</v>
      </c>
      <c r="E204">
        <v>7.4900000000000001E-3</v>
      </c>
      <c r="F204" s="1">
        <v>6.3E-2</v>
      </c>
      <c r="G204" s="1">
        <v>-7.1300000000000002E-2</v>
      </c>
      <c r="H204" s="1">
        <f t="shared" si="62"/>
        <v>1.1317460317460317</v>
      </c>
      <c r="J204" t="s">
        <v>9</v>
      </c>
      <c r="K204">
        <v>0.1</v>
      </c>
      <c r="L204">
        <v>0.9</v>
      </c>
      <c r="M204">
        <v>6.9899999999999997E-3</v>
      </c>
      <c r="N204">
        <v>7.4900000000000001E-3</v>
      </c>
      <c r="O204" s="1">
        <v>6.3E-2</v>
      </c>
      <c r="P204" s="1">
        <v>-7.1400000000000005E-2</v>
      </c>
      <c r="Q204" s="1">
        <f t="shared" si="63"/>
        <v>1.1333333333333333</v>
      </c>
      <c r="S204" t="s">
        <v>9</v>
      </c>
      <c r="T204">
        <v>0.1</v>
      </c>
      <c r="U204">
        <v>0.9</v>
      </c>
      <c r="V204">
        <v>6.9899999999999997E-3</v>
      </c>
      <c r="W204">
        <v>7.4900000000000001E-3</v>
      </c>
      <c r="X204" s="1">
        <v>6.3E-2</v>
      </c>
      <c r="Y204" s="1">
        <v>-7.1199999999999999E-2</v>
      </c>
      <c r="Z204" s="1">
        <f t="shared" si="64"/>
        <v>1.1301587301587301</v>
      </c>
      <c r="AB204" t="s">
        <v>9</v>
      </c>
      <c r="AC204">
        <v>0.1</v>
      </c>
      <c r="AD204">
        <v>0.9</v>
      </c>
      <c r="AE204">
        <v>6.9899999999999997E-3</v>
      </c>
      <c r="AF204">
        <v>7.4900000000000001E-3</v>
      </c>
      <c r="AG204" s="1">
        <v>6.3E-2</v>
      </c>
      <c r="AH204" s="1">
        <v>-7.2099999999999997E-2</v>
      </c>
      <c r="AI204" s="1">
        <f t="shared" si="65"/>
        <v>1.1444444444444444</v>
      </c>
      <c r="AK204" t="s">
        <v>9</v>
      </c>
      <c r="AL204">
        <v>0.1</v>
      </c>
      <c r="AM204">
        <v>0.9</v>
      </c>
      <c r="AN204">
        <v>6.9899999999999997E-3</v>
      </c>
      <c r="AO204">
        <v>7.4799999999999997E-3</v>
      </c>
      <c r="AP204" s="1">
        <v>6.3E-2</v>
      </c>
      <c r="AQ204" s="1">
        <v>-7.0400000000000004E-2</v>
      </c>
      <c r="AR204" s="1">
        <f t="shared" si="66"/>
        <v>1.1174603174603175</v>
      </c>
      <c r="AT204" s="12">
        <f t="shared" si="61"/>
        <v>5.9724037860574048E-4</v>
      </c>
      <c r="AU204" s="7">
        <f t="shared" si="67"/>
        <v>-7.124463519313308E-2</v>
      </c>
    </row>
    <row r="205" spans="1:47" x14ac:dyDescent="0.35">
      <c r="A205" s="17" t="s">
        <v>9</v>
      </c>
      <c r="B205">
        <v>0.5</v>
      </c>
      <c r="C205">
        <v>0.9</v>
      </c>
      <c r="D205">
        <v>3.29E-3</v>
      </c>
      <c r="E205">
        <v>3.3500000000000001E-3</v>
      </c>
      <c r="F205" s="1">
        <v>5.5E-2</v>
      </c>
      <c r="G205" s="1">
        <v>-1.7100000000000001E-2</v>
      </c>
      <c r="H205" s="1">
        <f t="shared" si="62"/>
        <v>0.31090909090909091</v>
      </c>
      <c r="J205" t="s">
        <v>9</v>
      </c>
      <c r="K205">
        <v>0.5</v>
      </c>
      <c r="L205">
        <v>0.9</v>
      </c>
      <c r="M205">
        <v>3.29E-3</v>
      </c>
      <c r="N205">
        <v>3.3600000000000001E-3</v>
      </c>
      <c r="O205" s="1">
        <v>5.5E-2</v>
      </c>
      <c r="P205" s="1">
        <v>-2.0199999999999999E-2</v>
      </c>
      <c r="Q205" s="1">
        <f t="shared" si="63"/>
        <v>0.36727272727272725</v>
      </c>
      <c r="S205" t="s">
        <v>9</v>
      </c>
      <c r="T205">
        <v>0.5</v>
      </c>
      <c r="U205">
        <v>0.9</v>
      </c>
      <c r="V205">
        <v>3.29E-3</v>
      </c>
      <c r="W205">
        <v>3.3400000000000001E-3</v>
      </c>
      <c r="X205" s="1">
        <v>5.5E-2</v>
      </c>
      <c r="Y205" s="1">
        <v>-1.52E-2</v>
      </c>
      <c r="Z205" s="1">
        <f t="shared" si="64"/>
        <v>0.27636363636363637</v>
      </c>
      <c r="AB205" t="s">
        <v>9</v>
      </c>
      <c r="AC205">
        <v>0.5</v>
      </c>
      <c r="AD205">
        <v>0.9</v>
      </c>
      <c r="AE205">
        <v>3.29E-3</v>
      </c>
      <c r="AF205">
        <v>3.3500000000000001E-3</v>
      </c>
      <c r="AG205" s="1">
        <v>5.5E-2</v>
      </c>
      <c r="AH205" s="1">
        <v>-1.7999999999999999E-2</v>
      </c>
      <c r="AI205" s="1">
        <f t="shared" si="65"/>
        <v>0.32727272727272727</v>
      </c>
      <c r="AK205" t="s">
        <v>9</v>
      </c>
      <c r="AL205">
        <v>0.5</v>
      </c>
      <c r="AM205">
        <v>0.9</v>
      </c>
      <c r="AN205">
        <v>3.29E-3</v>
      </c>
      <c r="AO205">
        <v>3.3600000000000001E-3</v>
      </c>
      <c r="AP205" s="1">
        <v>5.5E-2</v>
      </c>
      <c r="AQ205" s="1">
        <v>-2.0199999999999999E-2</v>
      </c>
      <c r="AR205" s="1">
        <f t="shared" si="66"/>
        <v>0.36727272727272725</v>
      </c>
      <c r="AT205" s="12">
        <f t="shared" si="61"/>
        <v>2.4960024657937883E-3</v>
      </c>
      <c r="AU205" s="7">
        <f t="shared" si="67"/>
        <v>-1.8844984802431609E-2</v>
      </c>
    </row>
    <row r="206" spans="1:47" x14ac:dyDescent="0.35">
      <c r="A206" s="17" t="s">
        <v>9</v>
      </c>
      <c r="B206">
        <v>1</v>
      </c>
      <c r="C206">
        <v>0.9</v>
      </c>
      <c r="D206">
        <v>1.2099999999999999E-3</v>
      </c>
      <c r="E206">
        <v>1.1900000000000001E-3</v>
      </c>
      <c r="F206" s="1">
        <v>0.109</v>
      </c>
      <c r="G206" s="1">
        <v>1.6500000000000001E-2</v>
      </c>
      <c r="H206" s="1">
        <f t="shared" si="62"/>
        <v>0.15137614678899083</v>
      </c>
      <c r="J206" t="s">
        <v>9</v>
      </c>
      <c r="K206">
        <v>1</v>
      </c>
      <c r="L206">
        <v>0.9</v>
      </c>
      <c r="M206">
        <v>1.2099999999999999E-3</v>
      </c>
      <c r="N206">
        <v>1.1900000000000001E-3</v>
      </c>
      <c r="O206" s="1">
        <v>0.109</v>
      </c>
      <c r="P206" s="1">
        <v>1.66E-2</v>
      </c>
      <c r="Q206" s="1">
        <f t="shared" si="63"/>
        <v>0.15229357798165138</v>
      </c>
      <c r="S206" t="s">
        <v>9</v>
      </c>
      <c r="T206">
        <v>1</v>
      </c>
      <c r="U206">
        <v>0.9</v>
      </c>
      <c r="V206">
        <v>1.2099999999999999E-3</v>
      </c>
      <c r="W206">
        <v>1.1999999999999999E-3</v>
      </c>
      <c r="X206" s="1">
        <v>0.109</v>
      </c>
      <c r="Y206" s="1">
        <v>7.1000000000000004E-3</v>
      </c>
      <c r="Z206" s="1">
        <f t="shared" si="64"/>
        <v>6.5137614678899086E-2</v>
      </c>
      <c r="AB206" t="s">
        <v>9</v>
      </c>
      <c r="AC206">
        <v>1</v>
      </c>
      <c r="AD206">
        <v>0.9</v>
      </c>
      <c r="AE206">
        <v>1.2099999999999999E-3</v>
      </c>
      <c r="AF206">
        <v>1.1999999999999999E-3</v>
      </c>
      <c r="AG206" s="1">
        <v>0.109</v>
      </c>
      <c r="AH206" s="1">
        <v>8.6999999999999994E-3</v>
      </c>
      <c r="AI206" s="1">
        <f t="shared" si="65"/>
        <v>7.981651376146788E-2</v>
      </c>
      <c r="AK206" t="s">
        <v>9</v>
      </c>
      <c r="AL206">
        <v>1</v>
      </c>
      <c r="AM206">
        <v>0.9</v>
      </c>
      <c r="AN206">
        <v>1.2099999999999999E-3</v>
      </c>
      <c r="AO206">
        <v>1.1900000000000001E-3</v>
      </c>
      <c r="AP206" s="1">
        <v>0.109</v>
      </c>
      <c r="AQ206" s="1">
        <v>1.5299999999999999E-2</v>
      </c>
      <c r="AR206" s="1">
        <f t="shared" si="66"/>
        <v>0.14036697247706423</v>
      </c>
      <c r="AT206" s="12">
        <f>STDEV(AO206,AF206,W206,N206,E206)/ AVERAGE(AO206,AF206,W206,N206,E206)</f>
        <v>4.5872911013832129E-3</v>
      </c>
      <c r="AU206" s="7">
        <f t="shared" si="67"/>
        <v>1.3223140495867732E-2</v>
      </c>
    </row>
    <row r="208" spans="1:47" x14ac:dyDescent="0.35">
      <c r="A208" s="6" t="s">
        <v>19</v>
      </c>
      <c r="B208" s="6"/>
      <c r="C208" s="6"/>
      <c r="D208" s="6"/>
      <c r="E208" s="6"/>
      <c r="F208" s="6"/>
      <c r="G208" s="6"/>
      <c r="H208" s="6"/>
      <c r="AN208" s="6" t="s">
        <v>19</v>
      </c>
      <c r="AO208" s="6"/>
      <c r="AP208" s="6"/>
      <c r="AQ208" s="6"/>
      <c r="AR208" s="6"/>
      <c r="AS208" s="6"/>
      <c r="AT208" s="6"/>
      <c r="AU208" s="6"/>
    </row>
    <row r="209" spans="1:47" x14ac:dyDescent="0.35">
      <c r="A209" s="17" t="s">
        <v>0</v>
      </c>
      <c r="B209" t="s">
        <v>1</v>
      </c>
      <c r="C209" t="s">
        <v>2</v>
      </c>
      <c r="D209" t="s">
        <v>3</v>
      </c>
      <c r="E209" t="s">
        <v>4</v>
      </c>
      <c r="F209" t="s">
        <v>5</v>
      </c>
      <c r="G209" t="s">
        <v>6</v>
      </c>
      <c r="J209" t="s">
        <v>0</v>
      </c>
      <c r="K209" t="s">
        <v>1</v>
      </c>
      <c r="L209" t="s">
        <v>2</v>
      </c>
      <c r="M209" t="s">
        <v>3</v>
      </c>
      <c r="N209" t="s">
        <v>4</v>
      </c>
      <c r="O209" t="s">
        <v>5</v>
      </c>
      <c r="P209" t="s">
        <v>6</v>
      </c>
      <c r="S209" t="s">
        <v>0</v>
      </c>
      <c r="T209" t="s">
        <v>1</v>
      </c>
      <c r="U209" t="s">
        <v>2</v>
      </c>
      <c r="V209" t="s">
        <v>3</v>
      </c>
      <c r="W209" t="s">
        <v>4</v>
      </c>
      <c r="X209" t="s">
        <v>5</v>
      </c>
      <c r="Y209" t="s">
        <v>6</v>
      </c>
      <c r="AB209" t="s">
        <v>0</v>
      </c>
      <c r="AC209" t="s">
        <v>1</v>
      </c>
      <c r="AD209" t="s">
        <v>2</v>
      </c>
      <c r="AE209" t="s">
        <v>3</v>
      </c>
      <c r="AF209" t="s">
        <v>4</v>
      </c>
      <c r="AG209" t="s">
        <v>5</v>
      </c>
      <c r="AH209" t="s">
        <v>6</v>
      </c>
      <c r="AK209" t="s">
        <v>0</v>
      </c>
      <c r="AL209" t="s">
        <v>1</v>
      </c>
      <c r="AM209" t="s">
        <v>2</v>
      </c>
      <c r="AN209" t="s">
        <v>3</v>
      </c>
      <c r="AO209" t="s">
        <v>4</v>
      </c>
      <c r="AP209" t="s">
        <v>5</v>
      </c>
      <c r="AQ209" t="s">
        <v>6</v>
      </c>
      <c r="AT209" s="15"/>
      <c r="AU209"/>
    </row>
    <row r="210" spans="1:47" x14ac:dyDescent="0.35">
      <c r="A210" s="17" t="s">
        <v>7</v>
      </c>
      <c r="B210">
        <v>0.8</v>
      </c>
      <c r="C210">
        <v>0.2</v>
      </c>
      <c r="D210">
        <v>0.16200000000000001</v>
      </c>
      <c r="E210">
        <v>0.16200000000000001</v>
      </c>
      <c r="F210" s="1">
        <v>0</v>
      </c>
      <c r="G210" s="1">
        <v>5.9999999999999995E-4</v>
      </c>
      <c r="H210" s="1" t="e">
        <f>ABS(G210/F210)</f>
        <v>#DIV/0!</v>
      </c>
      <c r="J210" t="s">
        <v>7</v>
      </c>
      <c r="K210">
        <v>0.8</v>
      </c>
      <c r="L210">
        <v>0.2</v>
      </c>
      <c r="M210">
        <v>0.16200000000000001</v>
      </c>
      <c r="N210">
        <v>0.16200000000000001</v>
      </c>
      <c r="O210" s="1">
        <v>0</v>
      </c>
      <c r="P210" s="1">
        <v>5.0000000000000001E-4</v>
      </c>
      <c r="Q210" s="1" t="e">
        <f>ABS(P210/O210)</f>
        <v>#DIV/0!</v>
      </c>
      <c r="S210" t="s">
        <v>7</v>
      </c>
      <c r="T210">
        <v>0.8</v>
      </c>
      <c r="U210">
        <v>0.2</v>
      </c>
      <c r="V210">
        <v>0.16200000000000001</v>
      </c>
      <c r="W210">
        <v>0.16200000000000001</v>
      </c>
      <c r="X210" s="1">
        <v>0</v>
      </c>
      <c r="Y210" s="1">
        <v>5.0000000000000001E-4</v>
      </c>
      <c r="Z210" s="1" t="e">
        <f>ABS(Y210/X210)</f>
        <v>#DIV/0!</v>
      </c>
      <c r="AB210" t="s">
        <v>7</v>
      </c>
      <c r="AC210">
        <v>0.8</v>
      </c>
      <c r="AD210">
        <v>0.2</v>
      </c>
      <c r="AE210">
        <v>0.16200000000000001</v>
      </c>
      <c r="AF210">
        <v>0.16200000000000001</v>
      </c>
      <c r="AG210" s="1">
        <v>0</v>
      </c>
      <c r="AH210" s="1">
        <v>8.0000000000000004E-4</v>
      </c>
      <c r="AI210" s="1" t="e">
        <f>ABS(AH210/AG210)</f>
        <v>#DIV/0!</v>
      </c>
      <c r="AK210" t="s">
        <v>7</v>
      </c>
      <c r="AL210">
        <v>0.8</v>
      </c>
      <c r="AM210">
        <v>0.2</v>
      </c>
      <c r="AN210">
        <v>0.16200000000000001</v>
      </c>
      <c r="AO210">
        <v>0.16200000000000001</v>
      </c>
      <c r="AP210" s="1">
        <v>0</v>
      </c>
      <c r="AQ210" s="1">
        <v>5.9999999999999995E-4</v>
      </c>
      <c r="AR210" s="1" t="e">
        <f>ABS(AQ210/AP210)</f>
        <v>#DIV/0!</v>
      </c>
      <c r="AT210" s="13">
        <f t="shared" ref="AT210:AT226" si="68">STDEV(AO210,AF210,W210,N210,E210)/ AVERAGE(AO210,AF210,W210,N210,E210)</f>
        <v>0</v>
      </c>
      <c r="AU210" s="8">
        <f>( D210 - AVERAGE(AO210,AF210,W210,N210,E210))/ D210</f>
        <v>0</v>
      </c>
    </row>
    <row r="211" spans="1:47" x14ac:dyDescent="0.35">
      <c r="A211" s="17" t="s">
        <v>7</v>
      </c>
      <c r="B211">
        <v>4</v>
      </c>
      <c r="C211">
        <v>0.2</v>
      </c>
      <c r="D211">
        <v>2.2699999999999999E-3</v>
      </c>
      <c r="E211">
        <v>2.2599999999999999E-3</v>
      </c>
      <c r="F211" s="1">
        <v>2E-3</v>
      </c>
      <c r="G211" s="1">
        <v>4.1000000000000003E-3</v>
      </c>
      <c r="H211" s="1">
        <f t="shared" ref="H211:H227" si="69">ABS(G211/F211)</f>
        <v>2.0500000000000003</v>
      </c>
      <c r="J211" t="s">
        <v>7</v>
      </c>
      <c r="K211">
        <v>4</v>
      </c>
      <c r="L211">
        <v>0.2</v>
      </c>
      <c r="M211">
        <v>2.2699999999999999E-3</v>
      </c>
      <c r="N211">
        <v>2.2699999999999999E-3</v>
      </c>
      <c r="O211" s="1">
        <v>2E-3</v>
      </c>
      <c r="P211" s="1">
        <v>1.6000000000000001E-3</v>
      </c>
      <c r="Q211" s="1">
        <f t="shared" ref="Q211:Q227" si="70">ABS(P211/O211)</f>
        <v>0.8</v>
      </c>
      <c r="S211" t="s">
        <v>7</v>
      </c>
      <c r="T211">
        <v>4</v>
      </c>
      <c r="U211">
        <v>0.2</v>
      </c>
      <c r="V211">
        <v>2.2699999999999999E-3</v>
      </c>
      <c r="W211">
        <v>2.2699999999999999E-3</v>
      </c>
      <c r="X211" s="1">
        <v>2E-3</v>
      </c>
      <c r="Y211" s="1">
        <v>1.5E-3</v>
      </c>
      <c r="Z211" s="1">
        <f t="shared" ref="Z211:Z227" si="71">ABS(Y211/X211)</f>
        <v>0.75</v>
      </c>
      <c r="AB211" t="s">
        <v>7</v>
      </c>
      <c r="AC211">
        <v>4</v>
      </c>
      <c r="AD211">
        <v>0.2</v>
      </c>
      <c r="AE211">
        <v>2.2699999999999999E-3</v>
      </c>
      <c r="AF211">
        <v>2.2699999999999999E-3</v>
      </c>
      <c r="AG211" s="1">
        <v>2E-3</v>
      </c>
      <c r="AH211" s="1">
        <v>1.2999999999999999E-3</v>
      </c>
      <c r="AI211" s="1">
        <f t="shared" ref="AI211:AI227" si="72">ABS(AH211/AG211)</f>
        <v>0.64999999999999991</v>
      </c>
      <c r="AK211" t="s">
        <v>7</v>
      </c>
      <c r="AL211">
        <v>4</v>
      </c>
      <c r="AM211">
        <v>0.2</v>
      </c>
      <c r="AN211">
        <v>2.2699999999999999E-3</v>
      </c>
      <c r="AO211">
        <v>2.2599999999999999E-3</v>
      </c>
      <c r="AP211" s="1">
        <v>2E-3</v>
      </c>
      <c r="AQ211" s="1">
        <v>6.3E-3</v>
      </c>
      <c r="AR211" s="1">
        <f t="shared" ref="AR211:AR227" si="73">ABS(AQ211/AP211)</f>
        <v>3.15</v>
      </c>
      <c r="AT211" s="13">
        <f t="shared" si="68"/>
        <v>2.4171339695726723E-3</v>
      </c>
      <c r="AU211" s="8">
        <f t="shared" ref="AU211:AU227" si="74">( D211 - AVERAGE(AO211,AF211,W211,N211,E211))/ D211</f>
        <v>1.7621145374449769E-3</v>
      </c>
    </row>
    <row r="212" spans="1:47" x14ac:dyDescent="0.35">
      <c r="A212" s="17" t="s">
        <v>7</v>
      </c>
      <c r="B212">
        <v>8</v>
      </c>
      <c r="C212">
        <v>0.2</v>
      </c>
      <c r="D212">
        <v>1.2999999999999999E-5</v>
      </c>
      <c r="E212">
        <v>1.33E-5</v>
      </c>
      <c r="F212" s="1">
        <v>4.7E-2</v>
      </c>
      <c r="G212" s="1">
        <v>-2.3099999999999999E-2</v>
      </c>
      <c r="H212" s="1">
        <f t="shared" si="69"/>
        <v>0.49148936170212765</v>
      </c>
      <c r="J212" t="s">
        <v>7</v>
      </c>
      <c r="K212">
        <v>8</v>
      </c>
      <c r="L212">
        <v>0.2</v>
      </c>
      <c r="M212">
        <v>1.2999999999999999E-5</v>
      </c>
      <c r="N212">
        <v>1.33E-5</v>
      </c>
      <c r="O212" s="1">
        <v>4.7E-2</v>
      </c>
      <c r="P212" s="1">
        <v>-2.3099999999999999E-2</v>
      </c>
      <c r="Q212" s="1">
        <f t="shared" si="70"/>
        <v>0.49148936170212765</v>
      </c>
      <c r="S212" t="s">
        <v>7</v>
      </c>
      <c r="T212">
        <v>8</v>
      </c>
      <c r="U212">
        <v>0.2</v>
      </c>
      <c r="V212">
        <v>1.2999999999999999E-5</v>
      </c>
      <c r="W212">
        <v>1.33E-5</v>
      </c>
      <c r="X212" s="1">
        <v>4.7E-2</v>
      </c>
      <c r="Y212" s="1">
        <v>-2.6200000000000001E-2</v>
      </c>
      <c r="Z212" s="1">
        <f t="shared" si="71"/>
        <v>0.55744680851063833</v>
      </c>
      <c r="AB212" t="s">
        <v>7</v>
      </c>
      <c r="AC212">
        <v>8</v>
      </c>
      <c r="AD212">
        <v>0.2</v>
      </c>
      <c r="AE212">
        <v>1.2999999999999999E-5</v>
      </c>
      <c r="AF212">
        <v>1.3499999999999999E-5</v>
      </c>
      <c r="AG212" s="1">
        <v>4.7E-2</v>
      </c>
      <c r="AH212" s="1">
        <v>-4.0800000000000003E-2</v>
      </c>
      <c r="AI212" s="1">
        <f t="shared" si="72"/>
        <v>0.86808510638297876</v>
      </c>
      <c r="AK212" t="s">
        <v>7</v>
      </c>
      <c r="AL212">
        <v>8</v>
      </c>
      <c r="AM212">
        <v>0.2</v>
      </c>
      <c r="AN212">
        <v>1.2999999999999999E-5</v>
      </c>
      <c r="AO212">
        <v>1.3900000000000001E-5</v>
      </c>
      <c r="AP212" s="1">
        <v>4.7E-2</v>
      </c>
      <c r="AQ212" s="1">
        <v>-6.6199999999999995E-2</v>
      </c>
      <c r="AR212" s="1">
        <f t="shared" si="73"/>
        <v>1.4085106382978723</v>
      </c>
      <c r="AT212" s="13">
        <f t="shared" si="68"/>
        <v>1.9373558410706267E-2</v>
      </c>
      <c r="AU212" s="8">
        <f t="shared" si="74"/>
        <v>-3.5384615384615438E-2</v>
      </c>
    </row>
    <row r="213" spans="1:47" x14ac:dyDescent="0.35">
      <c r="A213" s="17" t="s">
        <v>8</v>
      </c>
      <c r="B213">
        <v>0.8</v>
      </c>
      <c r="C213">
        <v>0.2</v>
      </c>
      <c r="D213">
        <v>9.6599999999999995E-4</v>
      </c>
      <c r="E213">
        <v>9.4899999999999997E-4</v>
      </c>
      <c r="F213" s="1">
        <v>2.3E-2</v>
      </c>
      <c r="G213" s="1">
        <v>1.7600000000000001E-2</v>
      </c>
      <c r="H213" s="1">
        <f t="shared" si="69"/>
        <v>0.76521739130434785</v>
      </c>
      <c r="J213" t="s">
        <v>8</v>
      </c>
      <c r="K213">
        <v>0.8</v>
      </c>
      <c r="L213">
        <v>0.2</v>
      </c>
      <c r="M213">
        <v>9.6599999999999995E-4</v>
      </c>
      <c r="N213">
        <v>9.4399999999999996E-4</v>
      </c>
      <c r="O213" s="1">
        <v>2.3E-2</v>
      </c>
      <c r="P213" s="1">
        <v>2.23E-2</v>
      </c>
      <c r="Q213" s="1">
        <f t="shared" si="70"/>
        <v>0.96956521739130441</v>
      </c>
      <c r="S213" t="s">
        <v>8</v>
      </c>
      <c r="T213">
        <v>0.8</v>
      </c>
      <c r="U213">
        <v>0.2</v>
      </c>
      <c r="V213">
        <v>9.6599999999999995E-4</v>
      </c>
      <c r="W213">
        <v>9.2800000000000001E-4</v>
      </c>
      <c r="X213" s="1">
        <v>2.3E-2</v>
      </c>
      <c r="Y213" s="1">
        <v>3.8899999999999997E-2</v>
      </c>
      <c r="Z213" s="1">
        <f t="shared" si="71"/>
        <v>1.691304347826087</v>
      </c>
      <c r="AB213" t="s">
        <v>8</v>
      </c>
      <c r="AC213">
        <v>0.8</v>
      </c>
      <c r="AD213">
        <v>0.2</v>
      </c>
      <c r="AE213">
        <v>9.6599999999999995E-4</v>
      </c>
      <c r="AF213">
        <v>9.4899999999999997E-4</v>
      </c>
      <c r="AG213" s="1">
        <v>2.3E-2</v>
      </c>
      <c r="AH213" s="1">
        <v>1.7999999999999999E-2</v>
      </c>
      <c r="AI213" s="1">
        <f t="shared" si="72"/>
        <v>0.78260869565217384</v>
      </c>
      <c r="AK213" t="s">
        <v>8</v>
      </c>
      <c r="AL213">
        <v>0.8</v>
      </c>
      <c r="AM213">
        <v>0.2</v>
      </c>
      <c r="AN213">
        <v>9.6599999999999995E-4</v>
      </c>
      <c r="AO213">
        <v>9.4200000000000002E-4</v>
      </c>
      <c r="AP213" s="1">
        <v>2.3E-2</v>
      </c>
      <c r="AQ213" s="1">
        <v>2.5100000000000001E-2</v>
      </c>
      <c r="AR213" s="1">
        <f t="shared" si="73"/>
        <v>1.0913043478260871</v>
      </c>
      <c r="AT213" s="14">
        <f t="shared" si="68"/>
        <v>9.1465882595542936E-3</v>
      </c>
      <c r="AU213" s="9">
        <f t="shared" si="74"/>
        <v>2.4430641821946091E-2</v>
      </c>
    </row>
    <row r="214" spans="1:47" x14ac:dyDescent="0.35">
      <c r="A214" s="17" t="s">
        <v>8</v>
      </c>
      <c r="B214">
        <v>4</v>
      </c>
      <c r="C214">
        <v>0.2</v>
      </c>
      <c r="D214">
        <v>1.3699999999999999E-5</v>
      </c>
      <c r="E214">
        <v>1.36E-5</v>
      </c>
      <c r="F214" s="1">
        <v>6.3E-2</v>
      </c>
      <c r="G214" s="1">
        <v>8.8000000000000005E-3</v>
      </c>
      <c r="H214" s="1">
        <f t="shared" si="69"/>
        <v>0.13968253968253969</v>
      </c>
      <c r="J214" t="s">
        <v>8</v>
      </c>
      <c r="K214">
        <v>4</v>
      </c>
      <c r="L214">
        <v>0.2</v>
      </c>
      <c r="M214">
        <v>1.3699999999999999E-5</v>
      </c>
      <c r="N214">
        <v>1.27E-5</v>
      </c>
      <c r="O214" s="1">
        <v>6.3E-2</v>
      </c>
      <c r="P214" s="1">
        <v>7.4499999999999997E-2</v>
      </c>
      <c r="Q214" s="1">
        <f t="shared" si="70"/>
        <v>1.1825396825396826</v>
      </c>
      <c r="S214" t="s">
        <v>8</v>
      </c>
      <c r="T214">
        <v>4</v>
      </c>
      <c r="U214">
        <v>0.2</v>
      </c>
      <c r="V214">
        <v>1.3699999999999999E-5</v>
      </c>
      <c r="W214">
        <v>1.2500000000000001E-5</v>
      </c>
      <c r="X214" s="1">
        <v>6.3E-2</v>
      </c>
      <c r="Y214" s="1">
        <v>8.9099999999999999E-2</v>
      </c>
      <c r="Z214" s="1">
        <f t="shared" si="71"/>
        <v>1.4142857142857141</v>
      </c>
      <c r="AB214" t="s">
        <v>8</v>
      </c>
      <c r="AC214">
        <v>4</v>
      </c>
      <c r="AD214">
        <v>0.2</v>
      </c>
      <c r="AE214">
        <v>1.3699999999999999E-5</v>
      </c>
      <c r="AF214">
        <v>1.45E-5</v>
      </c>
      <c r="AG214" s="1">
        <v>6.3E-2</v>
      </c>
      <c r="AH214" s="1">
        <v>-5.6899999999999999E-2</v>
      </c>
      <c r="AI214" s="1">
        <f t="shared" si="72"/>
        <v>0.90317460317460319</v>
      </c>
      <c r="AK214" t="s">
        <v>8</v>
      </c>
      <c r="AL214">
        <v>4</v>
      </c>
      <c r="AM214">
        <v>0.2</v>
      </c>
      <c r="AN214">
        <v>1.3699999999999999E-5</v>
      </c>
      <c r="AO214">
        <v>1.42E-5</v>
      </c>
      <c r="AP214" s="1">
        <v>6.3E-2</v>
      </c>
      <c r="AQ214" s="1">
        <v>-3.8699999999999998E-2</v>
      </c>
      <c r="AR214" s="1">
        <f t="shared" si="73"/>
        <v>0.61428571428571421</v>
      </c>
      <c r="AT214" s="14">
        <f t="shared" si="68"/>
        <v>6.56297968395161E-2</v>
      </c>
      <c r="AU214" s="9">
        <f t="shared" si="74"/>
        <v>1.4598540145985385E-2</v>
      </c>
    </row>
    <row r="215" spans="1:47" x14ac:dyDescent="0.35">
      <c r="A215" s="17" t="s">
        <v>8</v>
      </c>
      <c r="B215">
        <v>8</v>
      </c>
      <c r="C215">
        <v>0.2</v>
      </c>
      <c r="D215">
        <v>7.2800000000000003E-8</v>
      </c>
      <c r="E215">
        <v>7.0000000000000005E-8</v>
      </c>
      <c r="F215" s="1">
        <v>0.187</v>
      </c>
      <c r="G215" s="1">
        <v>3.85E-2</v>
      </c>
      <c r="H215" s="1">
        <f t="shared" si="69"/>
        <v>0.20588235294117646</v>
      </c>
      <c r="J215" t="s">
        <v>8</v>
      </c>
      <c r="K215">
        <v>8</v>
      </c>
      <c r="L215">
        <v>0.2</v>
      </c>
      <c r="M215">
        <v>7.2800000000000003E-8</v>
      </c>
      <c r="N215">
        <v>1E-8</v>
      </c>
      <c r="O215" s="1">
        <v>0.187</v>
      </c>
      <c r="P215" s="1">
        <v>0.86260000000000003</v>
      </c>
      <c r="Q215" s="1">
        <f t="shared" si="70"/>
        <v>4.6128342245989309</v>
      </c>
      <c r="S215" t="s">
        <v>8</v>
      </c>
      <c r="T215">
        <v>8</v>
      </c>
      <c r="U215">
        <v>0.2</v>
      </c>
      <c r="V215">
        <v>7.2800000000000003E-8</v>
      </c>
      <c r="W215">
        <v>1.3E-7</v>
      </c>
      <c r="X215" s="1">
        <v>0.187</v>
      </c>
      <c r="Y215" s="1">
        <v>-0.78569999999999995</v>
      </c>
      <c r="Z215" s="1">
        <f t="shared" si="71"/>
        <v>4.2016042780748659</v>
      </c>
      <c r="AB215" t="s">
        <v>8</v>
      </c>
      <c r="AC215">
        <v>8</v>
      </c>
      <c r="AD215">
        <v>0.2</v>
      </c>
      <c r="AE215">
        <v>7.2800000000000003E-8</v>
      </c>
      <c r="AF215">
        <v>1.6E-7</v>
      </c>
      <c r="AG215" s="1">
        <v>0.187</v>
      </c>
      <c r="AH215" s="1">
        <v>-1.1978</v>
      </c>
      <c r="AI215" s="1">
        <f t="shared" si="72"/>
        <v>6.4053475935828876</v>
      </c>
      <c r="AK215" t="s">
        <v>8</v>
      </c>
      <c r="AL215">
        <v>8</v>
      </c>
      <c r="AM215">
        <v>0.2</v>
      </c>
      <c r="AN215">
        <v>7.2800000000000003E-8</v>
      </c>
      <c r="AO215">
        <v>5.9999999999999995E-8</v>
      </c>
      <c r="AP215" s="1">
        <v>0.187</v>
      </c>
      <c r="AQ215" s="1">
        <v>0.17580000000000001</v>
      </c>
      <c r="AR215" s="1">
        <f t="shared" si="73"/>
        <v>0.94010695187165783</v>
      </c>
      <c r="AT215" s="14">
        <f t="shared" si="68"/>
        <v>0.69085817569827657</v>
      </c>
      <c r="AU215" s="9">
        <f t="shared" si="74"/>
        <v>-0.18131868131868148</v>
      </c>
    </row>
    <row r="216" spans="1:47" x14ac:dyDescent="0.35">
      <c r="A216" s="17" t="s">
        <v>9</v>
      </c>
      <c r="B216">
        <v>0.8</v>
      </c>
      <c r="C216">
        <v>0.2</v>
      </c>
      <c r="D216">
        <v>5.4700000000000001E-5</v>
      </c>
      <c r="E216">
        <v>6.2500000000000001E-5</v>
      </c>
      <c r="F216" s="1">
        <v>0.06</v>
      </c>
      <c r="G216" s="1">
        <v>-0.14330000000000001</v>
      </c>
      <c r="H216" s="1">
        <f t="shared" si="69"/>
        <v>2.3883333333333336</v>
      </c>
      <c r="J216" t="s">
        <v>9</v>
      </c>
      <c r="K216">
        <v>0.8</v>
      </c>
      <c r="L216">
        <v>0.2</v>
      </c>
      <c r="M216">
        <v>5.4700000000000001E-5</v>
      </c>
      <c r="N216">
        <v>6.1600000000000007E-5</v>
      </c>
      <c r="O216" s="1">
        <v>0.06</v>
      </c>
      <c r="P216" s="1">
        <v>-0.12540000000000001</v>
      </c>
      <c r="Q216" s="1">
        <f t="shared" si="70"/>
        <v>2.0900000000000003</v>
      </c>
      <c r="S216" t="s">
        <v>9</v>
      </c>
      <c r="T216">
        <v>0.8</v>
      </c>
      <c r="U216">
        <v>0.2</v>
      </c>
      <c r="V216">
        <v>5.4700000000000001E-5</v>
      </c>
      <c r="W216">
        <v>6.1400000000000002E-5</v>
      </c>
      <c r="X216" s="1">
        <v>0.06</v>
      </c>
      <c r="Y216" s="1">
        <v>-0.1232</v>
      </c>
      <c r="Z216" s="1">
        <f t="shared" si="71"/>
        <v>2.0533333333333337</v>
      </c>
      <c r="AB216" t="s">
        <v>9</v>
      </c>
      <c r="AC216">
        <v>0.8</v>
      </c>
      <c r="AD216">
        <v>0.2</v>
      </c>
      <c r="AE216">
        <v>5.4700000000000001E-5</v>
      </c>
      <c r="AF216">
        <v>6.3E-5</v>
      </c>
      <c r="AG216" s="1">
        <v>0.06</v>
      </c>
      <c r="AH216" s="1">
        <v>-0.15210000000000001</v>
      </c>
      <c r="AI216" s="1">
        <f t="shared" si="72"/>
        <v>2.5350000000000001</v>
      </c>
      <c r="AK216" t="s">
        <v>9</v>
      </c>
      <c r="AL216">
        <v>0.8</v>
      </c>
      <c r="AM216">
        <v>0.2</v>
      </c>
      <c r="AN216">
        <v>5.4700000000000001E-5</v>
      </c>
      <c r="AO216">
        <v>6.0600000000000003E-5</v>
      </c>
      <c r="AP216" s="1">
        <v>0.06</v>
      </c>
      <c r="AQ216" s="1">
        <v>-0.1075</v>
      </c>
      <c r="AR216" s="1">
        <f t="shared" si="73"/>
        <v>1.7916666666666667</v>
      </c>
      <c r="AT216" s="12">
        <f t="shared" si="68"/>
        <v>1.5277539894037632E-2</v>
      </c>
      <c r="AU216" s="7">
        <f t="shared" si="74"/>
        <v>-0.13016453382084095</v>
      </c>
    </row>
    <row r="217" spans="1:47" x14ac:dyDescent="0.35">
      <c r="A217" s="17" t="s">
        <v>9</v>
      </c>
      <c r="B217">
        <v>4</v>
      </c>
      <c r="C217">
        <v>0.2</v>
      </c>
      <c r="D217">
        <v>6.2399999999999998E-7</v>
      </c>
      <c r="E217">
        <v>7.9999999999999996E-7</v>
      </c>
      <c r="F217" s="1">
        <v>0.35499999999999998</v>
      </c>
      <c r="G217" s="1">
        <v>-0.28210000000000002</v>
      </c>
      <c r="H217" s="1">
        <f t="shared" si="69"/>
        <v>0.79464788732394376</v>
      </c>
      <c r="J217" t="s">
        <v>9</v>
      </c>
      <c r="K217">
        <v>4</v>
      </c>
      <c r="L217">
        <v>0.2</v>
      </c>
      <c r="M217">
        <v>6.2399999999999998E-7</v>
      </c>
      <c r="N217">
        <v>9.5999999999999991E-7</v>
      </c>
      <c r="O217" s="1">
        <v>0.35499999999999998</v>
      </c>
      <c r="P217" s="1">
        <v>-0.53849999999999998</v>
      </c>
      <c r="Q217" s="1">
        <f t="shared" si="70"/>
        <v>1.5169014084507042</v>
      </c>
      <c r="S217" t="s">
        <v>9</v>
      </c>
      <c r="T217">
        <v>4</v>
      </c>
      <c r="U217">
        <v>0.2</v>
      </c>
      <c r="V217">
        <v>6.2399999999999998E-7</v>
      </c>
      <c r="W217">
        <v>9.1999999999999998E-7</v>
      </c>
      <c r="X217" s="1">
        <v>0.35499999999999998</v>
      </c>
      <c r="Y217" s="1">
        <v>-0.47439999999999999</v>
      </c>
      <c r="Z217" s="1">
        <f t="shared" si="71"/>
        <v>1.336338028169014</v>
      </c>
      <c r="AB217" t="s">
        <v>9</v>
      </c>
      <c r="AC217">
        <v>4</v>
      </c>
      <c r="AD217">
        <v>0.2</v>
      </c>
      <c r="AE217">
        <v>6.2399999999999998E-7</v>
      </c>
      <c r="AF217">
        <v>8.1999999999999998E-7</v>
      </c>
      <c r="AG217" s="1">
        <v>0.35499999999999998</v>
      </c>
      <c r="AH217" s="1">
        <v>-0.31409999999999999</v>
      </c>
      <c r="AI217" s="1">
        <f t="shared" si="72"/>
        <v>0.88478873239436617</v>
      </c>
      <c r="AK217" t="s">
        <v>9</v>
      </c>
      <c r="AL217">
        <v>4</v>
      </c>
      <c r="AM217">
        <v>0.2</v>
      </c>
      <c r="AN217">
        <v>6.2399999999999998E-7</v>
      </c>
      <c r="AO217">
        <v>9.7999999999999993E-7</v>
      </c>
      <c r="AP217" s="1">
        <v>0.35499999999999998</v>
      </c>
      <c r="AQ217" s="1">
        <v>-0.57050000000000001</v>
      </c>
      <c r="AR217" s="1">
        <f t="shared" si="73"/>
        <v>1.6070422535211268</v>
      </c>
      <c r="AT217" s="12">
        <f t="shared" si="68"/>
        <v>9.1217931882600647E-2</v>
      </c>
      <c r="AU217" s="7">
        <f t="shared" si="74"/>
        <v>-0.43589743589743574</v>
      </c>
    </row>
    <row r="218" spans="1:47" x14ac:dyDescent="0.35">
      <c r="A218" s="17" t="s">
        <v>9</v>
      </c>
      <c r="B218">
        <v>8</v>
      </c>
      <c r="C218">
        <v>0.2</v>
      </c>
      <c r="D218">
        <v>4.0199999999999998E-9</v>
      </c>
      <c r="E218">
        <v>2E-8</v>
      </c>
      <c r="F218" s="1">
        <v>0.248</v>
      </c>
      <c r="G218" s="1">
        <v>-3.9750999999999999</v>
      </c>
      <c r="H218" s="1">
        <f t="shared" si="69"/>
        <v>16.028629032258063</v>
      </c>
      <c r="J218" t="s">
        <v>9</v>
      </c>
      <c r="K218">
        <v>8</v>
      </c>
      <c r="L218">
        <v>0.2</v>
      </c>
      <c r="M218">
        <v>4.0199999999999998E-9</v>
      </c>
      <c r="N218">
        <v>2E-8</v>
      </c>
      <c r="O218" s="1">
        <v>0.248</v>
      </c>
      <c r="P218" s="1">
        <v>-3.9750999999999999</v>
      </c>
      <c r="Q218" s="1">
        <f t="shared" si="70"/>
        <v>16.028629032258063</v>
      </c>
      <c r="S218" t="s">
        <v>9</v>
      </c>
      <c r="T218">
        <v>8</v>
      </c>
      <c r="U218">
        <v>0.2</v>
      </c>
      <c r="V218">
        <v>4.0199999999999998E-9</v>
      </c>
      <c r="W218">
        <v>0</v>
      </c>
      <c r="X218" s="1">
        <v>0.248</v>
      </c>
      <c r="Y218" s="1">
        <v>1</v>
      </c>
      <c r="Z218" s="1">
        <f t="shared" si="71"/>
        <v>4.032258064516129</v>
      </c>
      <c r="AB218" t="s">
        <v>9</v>
      </c>
      <c r="AC218">
        <v>8</v>
      </c>
      <c r="AD218">
        <v>0.2</v>
      </c>
      <c r="AE218">
        <v>4.0199999999999998E-9</v>
      </c>
      <c r="AF218">
        <v>0</v>
      </c>
      <c r="AG218" s="1">
        <v>0.248</v>
      </c>
      <c r="AH218" s="1">
        <v>1</v>
      </c>
      <c r="AI218" s="1">
        <f t="shared" si="72"/>
        <v>4.032258064516129</v>
      </c>
      <c r="AK218" t="s">
        <v>9</v>
      </c>
      <c r="AL218">
        <v>8</v>
      </c>
      <c r="AM218">
        <v>0.2</v>
      </c>
      <c r="AN218">
        <v>4.0199999999999998E-9</v>
      </c>
      <c r="AO218">
        <v>0</v>
      </c>
      <c r="AP218" s="1">
        <v>0.248</v>
      </c>
      <c r="AQ218" s="1">
        <v>1</v>
      </c>
      <c r="AR218" s="1">
        <f t="shared" si="73"/>
        <v>4.032258064516129</v>
      </c>
      <c r="AT218" s="12">
        <f t="shared" si="68"/>
        <v>1.3693063937629153</v>
      </c>
      <c r="AU218" s="7">
        <f t="shared" si="74"/>
        <v>-0.99004975124378136</v>
      </c>
    </row>
    <row r="219" spans="1:47" x14ac:dyDescent="0.35">
      <c r="A219" s="17" t="s">
        <v>7</v>
      </c>
      <c r="B219">
        <v>0.1</v>
      </c>
      <c r="C219">
        <v>0.9</v>
      </c>
      <c r="D219">
        <v>0.41299999999999998</v>
      </c>
      <c r="E219">
        <v>0.41399999999999998</v>
      </c>
      <c r="F219" s="1">
        <v>1E-3</v>
      </c>
      <c r="G219" s="1">
        <v>-1.2999999999999999E-3</v>
      </c>
      <c r="H219" s="1">
        <f t="shared" si="69"/>
        <v>1.2999999999999998</v>
      </c>
      <c r="J219" t="s">
        <v>7</v>
      </c>
      <c r="K219">
        <v>0.1</v>
      </c>
      <c r="L219">
        <v>0.9</v>
      </c>
      <c r="M219">
        <v>0.41299999999999998</v>
      </c>
      <c r="N219">
        <v>0.41399999999999998</v>
      </c>
      <c r="O219" s="1">
        <v>1E-3</v>
      </c>
      <c r="P219" s="1">
        <v>-1.2999999999999999E-3</v>
      </c>
      <c r="Q219" s="1">
        <f t="shared" si="70"/>
        <v>1.2999999999999998</v>
      </c>
      <c r="S219" t="s">
        <v>7</v>
      </c>
      <c r="T219">
        <v>0.1</v>
      </c>
      <c r="U219">
        <v>0.9</v>
      </c>
      <c r="V219">
        <v>0.41299999999999998</v>
      </c>
      <c r="W219">
        <v>0.41399999999999998</v>
      </c>
      <c r="X219" s="1">
        <v>1E-3</v>
      </c>
      <c r="Y219" s="1">
        <v>-1.4E-3</v>
      </c>
      <c r="Z219" s="1">
        <f t="shared" si="71"/>
        <v>1.4</v>
      </c>
      <c r="AB219" t="s">
        <v>7</v>
      </c>
      <c r="AC219">
        <v>0.1</v>
      </c>
      <c r="AD219">
        <v>0.9</v>
      </c>
      <c r="AE219">
        <v>0.41299999999999998</v>
      </c>
      <c r="AF219">
        <v>0.41399999999999998</v>
      </c>
      <c r="AG219" s="1">
        <v>1E-3</v>
      </c>
      <c r="AH219" s="1">
        <v>-1.5E-3</v>
      </c>
      <c r="AI219" s="1">
        <f t="shared" si="72"/>
        <v>1.5</v>
      </c>
      <c r="AK219" t="s">
        <v>7</v>
      </c>
      <c r="AL219">
        <v>0.1</v>
      </c>
      <c r="AM219">
        <v>0.9</v>
      </c>
      <c r="AN219">
        <v>0.41299999999999998</v>
      </c>
      <c r="AO219">
        <v>0.41399999999999998</v>
      </c>
      <c r="AP219" s="1">
        <v>1E-3</v>
      </c>
      <c r="AQ219" s="1">
        <v>-1.4E-3</v>
      </c>
      <c r="AR219" s="1">
        <f t="shared" si="73"/>
        <v>1.4</v>
      </c>
      <c r="AT219" s="13">
        <f t="shared" si="68"/>
        <v>0</v>
      </c>
      <c r="AU219" s="8">
        <f t="shared" si="74"/>
        <v>-2.421307506053271E-3</v>
      </c>
    </row>
    <row r="220" spans="1:47" x14ac:dyDescent="0.35">
      <c r="A220" s="17" t="s">
        <v>7</v>
      </c>
      <c r="B220">
        <v>0.5</v>
      </c>
      <c r="C220">
        <v>0.9</v>
      </c>
      <c r="D220">
        <v>0.187</v>
      </c>
      <c r="E220">
        <v>0.184</v>
      </c>
      <c r="F220" s="1">
        <v>5.0000000000000001E-3</v>
      </c>
      <c r="G220" s="1">
        <v>1.6899999999999998E-2</v>
      </c>
      <c r="H220" s="1">
        <f t="shared" si="69"/>
        <v>3.3799999999999994</v>
      </c>
      <c r="J220" t="s">
        <v>7</v>
      </c>
      <c r="K220">
        <v>0.5</v>
      </c>
      <c r="L220">
        <v>0.9</v>
      </c>
      <c r="M220">
        <v>0.187</v>
      </c>
      <c r="N220">
        <v>0.184</v>
      </c>
      <c r="O220" s="1">
        <v>5.0000000000000001E-3</v>
      </c>
      <c r="P220" s="1">
        <v>1.6799999999999999E-2</v>
      </c>
      <c r="Q220" s="1">
        <f t="shared" si="70"/>
        <v>3.36</v>
      </c>
      <c r="S220" t="s">
        <v>7</v>
      </c>
      <c r="T220">
        <v>0.5</v>
      </c>
      <c r="U220">
        <v>0.9</v>
      </c>
      <c r="V220">
        <v>0.187</v>
      </c>
      <c r="W220">
        <v>0.184</v>
      </c>
      <c r="X220" s="1">
        <v>5.0000000000000001E-3</v>
      </c>
      <c r="Y220" s="1">
        <v>1.67E-2</v>
      </c>
      <c r="Z220" s="1">
        <f t="shared" si="71"/>
        <v>3.34</v>
      </c>
      <c r="AB220" t="s">
        <v>7</v>
      </c>
      <c r="AC220">
        <v>0.5</v>
      </c>
      <c r="AD220">
        <v>0.9</v>
      </c>
      <c r="AE220">
        <v>0.187</v>
      </c>
      <c r="AF220">
        <v>0.184</v>
      </c>
      <c r="AG220" s="1">
        <v>5.0000000000000001E-3</v>
      </c>
      <c r="AH220" s="1">
        <v>1.67E-2</v>
      </c>
      <c r="AI220" s="1">
        <f t="shared" si="72"/>
        <v>3.34</v>
      </c>
      <c r="AK220" t="s">
        <v>7</v>
      </c>
      <c r="AL220">
        <v>0.5</v>
      </c>
      <c r="AM220">
        <v>0.9</v>
      </c>
      <c r="AN220">
        <v>0.187</v>
      </c>
      <c r="AO220">
        <v>0.184</v>
      </c>
      <c r="AP220" s="1">
        <v>5.0000000000000001E-3</v>
      </c>
      <c r="AQ220" s="1">
        <v>1.66E-2</v>
      </c>
      <c r="AR220" s="1">
        <f t="shared" si="73"/>
        <v>3.32</v>
      </c>
      <c r="AT220" s="13">
        <f t="shared" si="68"/>
        <v>0</v>
      </c>
      <c r="AU220" s="8">
        <f t="shared" si="74"/>
        <v>1.6042780748663117E-2</v>
      </c>
    </row>
    <row r="221" spans="1:47" x14ac:dyDescent="0.35">
      <c r="A221" s="17" t="s">
        <v>7</v>
      </c>
      <c r="B221">
        <v>1</v>
      </c>
      <c r="C221">
        <v>0.9</v>
      </c>
      <c r="D221">
        <v>6.8500000000000005E-2</v>
      </c>
      <c r="E221">
        <v>6.6199999999999995E-2</v>
      </c>
      <c r="F221" s="1">
        <v>0.01</v>
      </c>
      <c r="G221" s="1">
        <v>3.3700000000000001E-2</v>
      </c>
      <c r="H221" s="1">
        <f t="shared" si="69"/>
        <v>3.37</v>
      </c>
      <c r="J221" t="s">
        <v>7</v>
      </c>
      <c r="K221">
        <v>1</v>
      </c>
      <c r="L221">
        <v>0.9</v>
      </c>
      <c r="M221">
        <v>6.8500000000000005E-2</v>
      </c>
      <c r="N221">
        <v>6.6199999999999995E-2</v>
      </c>
      <c r="O221" s="1">
        <v>0.01</v>
      </c>
      <c r="P221" s="1">
        <v>3.4099999999999998E-2</v>
      </c>
      <c r="Q221" s="1">
        <f t="shared" si="70"/>
        <v>3.4099999999999997</v>
      </c>
      <c r="S221" t="s">
        <v>7</v>
      </c>
      <c r="T221">
        <v>1</v>
      </c>
      <c r="U221">
        <v>0.9</v>
      </c>
      <c r="V221">
        <v>6.8500000000000005E-2</v>
      </c>
      <c r="W221">
        <v>6.6100000000000006E-2</v>
      </c>
      <c r="X221" s="1">
        <v>0.01</v>
      </c>
      <c r="Y221" s="1">
        <v>3.44E-2</v>
      </c>
      <c r="Z221" s="1">
        <f t="shared" si="71"/>
        <v>3.44</v>
      </c>
      <c r="AB221" t="s">
        <v>7</v>
      </c>
      <c r="AC221">
        <v>1</v>
      </c>
      <c r="AD221">
        <v>0.9</v>
      </c>
      <c r="AE221">
        <v>6.8500000000000005E-2</v>
      </c>
      <c r="AF221">
        <v>6.6199999999999995E-2</v>
      </c>
      <c r="AG221" s="1">
        <v>0.01</v>
      </c>
      <c r="AH221" s="1">
        <v>3.3700000000000001E-2</v>
      </c>
      <c r="AI221" s="1">
        <f t="shared" si="72"/>
        <v>3.37</v>
      </c>
      <c r="AK221" t="s">
        <v>7</v>
      </c>
      <c r="AL221">
        <v>1</v>
      </c>
      <c r="AM221">
        <v>0.9</v>
      </c>
      <c r="AN221">
        <v>6.8500000000000005E-2</v>
      </c>
      <c r="AO221">
        <v>6.6199999999999995E-2</v>
      </c>
      <c r="AP221" s="1">
        <v>0.01</v>
      </c>
      <c r="AQ221" s="1">
        <v>3.3500000000000002E-2</v>
      </c>
      <c r="AR221" s="1">
        <f t="shared" si="73"/>
        <v>3.35</v>
      </c>
      <c r="AT221" s="13">
        <f t="shared" si="68"/>
        <v>6.7575339301890113E-4</v>
      </c>
      <c r="AU221" s="8">
        <f t="shared" si="74"/>
        <v>3.3868613138686367E-2</v>
      </c>
    </row>
    <row r="222" spans="1:47" x14ac:dyDescent="0.35">
      <c r="A222" s="17" t="s">
        <v>8</v>
      </c>
      <c r="B222">
        <v>0.1</v>
      </c>
      <c r="C222">
        <v>0.9</v>
      </c>
      <c r="D222">
        <v>9.3100000000000002E-2</v>
      </c>
      <c r="E222">
        <v>9.2799999999999994E-2</v>
      </c>
      <c r="F222" s="1">
        <v>2.1000000000000001E-2</v>
      </c>
      <c r="G222" s="1">
        <v>2.8999999999999998E-3</v>
      </c>
      <c r="H222" s="1">
        <f t="shared" si="69"/>
        <v>0.13809523809523808</v>
      </c>
      <c r="J222" t="s">
        <v>8</v>
      </c>
      <c r="K222">
        <v>0.1</v>
      </c>
      <c r="L222">
        <v>0.9</v>
      </c>
      <c r="M222">
        <v>9.3100000000000002E-2</v>
      </c>
      <c r="N222">
        <v>9.2700000000000005E-2</v>
      </c>
      <c r="O222" s="1">
        <v>2.1000000000000001E-2</v>
      </c>
      <c r="P222" s="1">
        <v>4.4999999999999997E-3</v>
      </c>
      <c r="Q222" s="1">
        <f t="shared" si="70"/>
        <v>0.21428571428571425</v>
      </c>
      <c r="S222" t="s">
        <v>8</v>
      </c>
      <c r="T222">
        <v>0.1</v>
      </c>
      <c r="U222">
        <v>0.9</v>
      </c>
      <c r="V222">
        <v>9.3100000000000002E-2</v>
      </c>
      <c r="W222">
        <v>9.2799999999999994E-2</v>
      </c>
      <c r="X222" s="1">
        <v>2.1000000000000001E-2</v>
      </c>
      <c r="Y222" s="1">
        <v>3.0999999999999999E-3</v>
      </c>
      <c r="Z222" s="1">
        <f t="shared" si="71"/>
        <v>0.14761904761904759</v>
      </c>
      <c r="AB222" t="s">
        <v>8</v>
      </c>
      <c r="AC222">
        <v>0.1</v>
      </c>
      <c r="AD222">
        <v>0.9</v>
      </c>
      <c r="AE222">
        <v>9.3100000000000002E-2</v>
      </c>
      <c r="AF222">
        <v>9.2799999999999994E-2</v>
      </c>
      <c r="AG222" s="1">
        <v>2.1000000000000001E-2</v>
      </c>
      <c r="AH222" s="1">
        <v>3.0999999999999999E-3</v>
      </c>
      <c r="AI222" s="1">
        <f t="shared" si="72"/>
        <v>0.14761904761904759</v>
      </c>
      <c r="AK222" t="s">
        <v>8</v>
      </c>
      <c r="AL222">
        <v>0.1</v>
      </c>
      <c r="AM222">
        <v>0.9</v>
      </c>
      <c r="AN222">
        <v>9.3100000000000002E-2</v>
      </c>
      <c r="AO222">
        <v>9.2899999999999996E-2</v>
      </c>
      <c r="AP222" s="1">
        <v>2.1000000000000001E-2</v>
      </c>
      <c r="AQ222" s="1">
        <v>2.5999999999999999E-3</v>
      </c>
      <c r="AR222" s="1">
        <f t="shared" si="73"/>
        <v>0.1238095238095238</v>
      </c>
      <c r="AT222" s="14">
        <f t="shared" si="68"/>
        <v>7.6196851420961068E-4</v>
      </c>
      <c r="AU222" s="9">
        <f t="shared" si="74"/>
        <v>3.2223415682063219E-3</v>
      </c>
    </row>
    <row r="223" spans="1:47" x14ac:dyDescent="0.35">
      <c r="A223" s="17" t="s">
        <v>8</v>
      </c>
      <c r="B223">
        <v>0.5</v>
      </c>
      <c r="C223">
        <v>0.9</v>
      </c>
      <c r="D223">
        <v>4.6300000000000001E-2</v>
      </c>
      <c r="E223">
        <v>4.4900000000000002E-2</v>
      </c>
      <c r="F223" s="1">
        <v>1.7000000000000001E-2</v>
      </c>
      <c r="G223" s="1">
        <v>3.0200000000000001E-2</v>
      </c>
      <c r="H223" s="1">
        <f t="shared" si="69"/>
        <v>1.776470588235294</v>
      </c>
      <c r="J223" t="s">
        <v>8</v>
      </c>
      <c r="K223">
        <v>0.5</v>
      </c>
      <c r="L223">
        <v>0.9</v>
      </c>
      <c r="M223">
        <v>4.6300000000000001E-2</v>
      </c>
      <c r="N223">
        <v>4.4900000000000002E-2</v>
      </c>
      <c r="O223" s="1">
        <v>1.7000000000000001E-2</v>
      </c>
      <c r="P223" s="1">
        <v>3.1E-2</v>
      </c>
      <c r="Q223" s="1">
        <f t="shared" si="70"/>
        <v>1.8235294117647058</v>
      </c>
      <c r="S223" t="s">
        <v>8</v>
      </c>
      <c r="T223">
        <v>0.5</v>
      </c>
      <c r="U223">
        <v>0.9</v>
      </c>
      <c r="V223">
        <v>4.6300000000000001E-2</v>
      </c>
      <c r="W223">
        <v>4.48E-2</v>
      </c>
      <c r="X223" s="1">
        <v>1.7000000000000001E-2</v>
      </c>
      <c r="Y223" s="1">
        <v>3.2500000000000001E-2</v>
      </c>
      <c r="Z223" s="1">
        <f t="shared" si="71"/>
        <v>1.9117647058823528</v>
      </c>
      <c r="AB223" t="s">
        <v>8</v>
      </c>
      <c r="AC223">
        <v>0.5</v>
      </c>
      <c r="AD223">
        <v>0.9</v>
      </c>
      <c r="AE223">
        <v>4.6300000000000001E-2</v>
      </c>
      <c r="AF223">
        <v>4.4900000000000002E-2</v>
      </c>
      <c r="AG223" s="1">
        <v>1.7000000000000001E-2</v>
      </c>
      <c r="AH223" s="1">
        <v>3.1300000000000001E-2</v>
      </c>
      <c r="AI223" s="1">
        <f t="shared" si="72"/>
        <v>1.8411764705882352</v>
      </c>
      <c r="AK223" t="s">
        <v>8</v>
      </c>
      <c r="AL223">
        <v>0.5</v>
      </c>
      <c r="AM223">
        <v>0.9</v>
      </c>
      <c r="AN223">
        <v>4.6300000000000001E-2</v>
      </c>
      <c r="AO223">
        <v>4.48E-2</v>
      </c>
      <c r="AP223" s="1">
        <v>1.7000000000000001E-2</v>
      </c>
      <c r="AQ223" s="1">
        <v>3.2500000000000001E-2</v>
      </c>
      <c r="AR223" s="1">
        <f t="shared" si="73"/>
        <v>1.9117647058823528</v>
      </c>
      <c r="AT223" s="14">
        <f t="shared" si="68"/>
        <v>1.2209597804395493E-3</v>
      </c>
      <c r="AU223" s="9">
        <f t="shared" si="74"/>
        <v>3.1101511879049758E-2</v>
      </c>
    </row>
    <row r="224" spans="1:47" x14ac:dyDescent="0.35">
      <c r="A224" s="17" t="s">
        <v>8</v>
      </c>
      <c r="B224">
        <v>1</v>
      </c>
      <c r="C224">
        <v>0.9</v>
      </c>
      <c r="D224">
        <v>1.6500000000000001E-2</v>
      </c>
      <c r="E224">
        <v>1.55E-2</v>
      </c>
      <c r="F224" s="1">
        <v>1.4E-2</v>
      </c>
      <c r="G224" s="1">
        <v>5.7700000000000001E-2</v>
      </c>
      <c r="H224" s="1">
        <f t="shared" si="69"/>
        <v>4.121428571428571</v>
      </c>
      <c r="J224" t="s">
        <v>8</v>
      </c>
      <c r="K224">
        <v>1</v>
      </c>
      <c r="L224">
        <v>0.9</v>
      </c>
      <c r="M224">
        <v>1.6500000000000001E-2</v>
      </c>
      <c r="N224">
        <v>1.5599999999999999E-2</v>
      </c>
      <c r="O224" s="1">
        <v>1.4E-2</v>
      </c>
      <c r="P224" s="1">
        <v>5.3100000000000001E-2</v>
      </c>
      <c r="Q224" s="1">
        <f t="shared" si="70"/>
        <v>3.7928571428571427</v>
      </c>
      <c r="S224" t="s">
        <v>8</v>
      </c>
      <c r="T224">
        <v>1</v>
      </c>
      <c r="U224">
        <v>0.9</v>
      </c>
      <c r="V224">
        <v>1.6500000000000001E-2</v>
      </c>
      <c r="W224">
        <v>1.55E-2</v>
      </c>
      <c r="X224" s="1">
        <v>1.4E-2</v>
      </c>
      <c r="Y224" s="1">
        <v>5.8400000000000001E-2</v>
      </c>
      <c r="Z224" s="1">
        <f t="shared" si="71"/>
        <v>4.1714285714285717</v>
      </c>
      <c r="AB224" t="s">
        <v>8</v>
      </c>
      <c r="AC224">
        <v>1</v>
      </c>
      <c r="AD224">
        <v>0.9</v>
      </c>
      <c r="AE224">
        <v>1.6500000000000001E-2</v>
      </c>
      <c r="AF224">
        <v>1.5599999999999999E-2</v>
      </c>
      <c r="AG224" s="1">
        <v>1.4E-2</v>
      </c>
      <c r="AH224" s="1">
        <v>5.3900000000000003E-2</v>
      </c>
      <c r="AI224" s="1">
        <f t="shared" si="72"/>
        <v>3.85</v>
      </c>
      <c r="AK224" t="s">
        <v>8</v>
      </c>
      <c r="AL224">
        <v>1</v>
      </c>
      <c r="AM224">
        <v>0.9</v>
      </c>
      <c r="AN224">
        <v>1.6500000000000001E-2</v>
      </c>
      <c r="AO224">
        <v>1.5599999999999999E-2</v>
      </c>
      <c r="AP224" s="1">
        <v>1.4E-2</v>
      </c>
      <c r="AQ224" s="1">
        <v>5.4899999999999997E-2</v>
      </c>
      <c r="AR224" s="1">
        <f t="shared" si="73"/>
        <v>3.9214285714285713</v>
      </c>
      <c r="AT224" s="14">
        <f t="shared" si="68"/>
        <v>3.5200678502902497E-3</v>
      </c>
      <c r="AU224" s="9">
        <f t="shared" si="74"/>
        <v>5.6969696969697066E-2</v>
      </c>
    </row>
    <row r="225" spans="1:54" x14ac:dyDescent="0.35">
      <c r="A225" s="17" t="s">
        <v>9</v>
      </c>
      <c r="B225">
        <v>0.1</v>
      </c>
      <c r="C225">
        <v>0.9</v>
      </c>
      <c r="D225">
        <v>6.9899999999999997E-3</v>
      </c>
      <c r="E225">
        <v>7.79E-3</v>
      </c>
      <c r="F225" s="1">
        <v>6.3E-2</v>
      </c>
      <c r="G225" s="1">
        <v>-0.1145</v>
      </c>
      <c r="H225" s="1">
        <f t="shared" si="69"/>
        <v>1.8174603174603174</v>
      </c>
      <c r="J225" t="s">
        <v>9</v>
      </c>
      <c r="K225">
        <v>0.1</v>
      </c>
      <c r="L225">
        <v>0.9</v>
      </c>
      <c r="M225">
        <v>6.9899999999999997E-3</v>
      </c>
      <c r="N225">
        <v>7.8100000000000001E-3</v>
      </c>
      <c r="O225" s="1">
        <v>6.3E-2</v>
      </c>
      <c r="P225" s="1">
        <v>-0.1179</v>
      </c>
      <c r="Q225" s="1">
        <f t="shared" si="70"/>
        <v>1.8714285714285714</v>
      </c>
      <c r="S225" t="s">
        <v>9</v>
      </c>
      <c r="T225">
        <v>0.1</v>
      </c>
      <c r="U225">
        <v>0.9</v>
      </c>
      <c r="V225">
        <v>6.9899999999999997E-3</v>
      </c>
      <c r="W225">
        <v>7.8100000000000001E-3</v>
      </c>
      <c r="X225" s="1">
        <v>6.3E-2</v>
      </c>
      <c r="Y225" s="1">
        <v>-0.1177</v>
      </c>
      <c r="Z225" s="1">
        <f t="shared" si="71"/>
        <v>1.8682539682539683</v>
      </c>
      <c r="AB225" t="s">
        <v>9</v>
      </c>
      <c r="AC225">
        <v>0.1</v>
      </c>
      <c r="AD225">
        <v>0.9</v>
      </c>
      <c r="AE225">
        <v>6.9899999999999997E-3</v>
      </c>
      <c r="AF225">
        <v>7.7999999999999996E-3</v>
      </c>
      <c r="AG225" s="1">
        <v>6.3E-2</v>
      </c>
      <c r="AH225" s="1">
        <v>-0.1162</v>
      </c>
      <c r="AI225" s="1">
        <f t="shared" si="72"/>
        <v>1.8444444444444443</v>
      </c>
      <c r="AK225" t="s">
        <v>9</v>
      </c>
      <c r="AL225">
        <v>0.1</v>
      </c>
      <c r="AM225">
        <v>0.9</v>
      </c>
      <c r="AN225">
        <v>6.9899999999999997E-3</v>
      </c>
      <c r="AO225">
        <v>7.77E-3</v>
      </c>
      <c r="AP225" s="1">
        <v>6.3E-2</v>
      </c>
      <c r="AQ225" s="1">
        <v>-0.1111</v>
      </c>
      <c r="AR225" s="1">
        <f t="shared" si="73"/>
        <v>1.7634920634920634</v>
      </c>
      <c r="AT225" s="12">
        <f t="shared" si="68"/>
        <v>2.1463828284609453E-3</v>
      </c>
      <c r="AU225" s="7">
        <f t="shared" si="74"/>
        <v>-0.11530758226037201</v>
      </c>
    </row>
    <row r="226" spans="1:54" x14ac:dyDescent="0.35">
      <c r="A226" s="17" t="s">
        <v>9</v>
      </c>
      <c r="B226">
        <v>0.5</v>
      </c>
      <c r="C226">
        <v>0.9</v>
      </c>
      <c r="D226">
        <v>3.29E-3</v>
      </c>
      <c r="E226">
        <v>3.48E-3</v>
      </c>
      <c r="F226" s="1">
        <v>5.5E-2</v>
      </c>
      <c r="G226" s="1">
        <v>-5.7799999999999997E-2</v>
      </c>
      <c r="H226" s="1">
        <f t="shared" si="69"/>
        <v>1.0509090909090908</v>
      </c>
      <c r="J226" t="s">
        <v>9</v>
      </c>
      <c r="K226">
        <v>0.5</v>
      </c>
      <c r="L226">
        <v>0.9</v>
      </c>
      <c r="M226">
        <v>3.29E-3</v>
      </c>
      <c r="N226">
        <v>3.5000000000000001E-3</v>
      </c>
      <c r="O226" s="1">
        <v>5.5E-2</v>
      </c>
      <c r="P226" s="1">
        <v>-6.4500000000000002E-2</v>
      </c>
      <c r="Q226" s="1">
        <f t="shared" si="70"/>
        <v>1.1727272727272728</v>
      </c>
      <c r="S226" t="s">
        <v>9</v>
      </c>
      <c r="T226">
        <v>0.5</v>
      </c>
      <c r="U226">
        <v>0.9</v>
      </c>
      <c r="V226">
        <v>3.29E-3</v>
      </c>
      <c r="W226">
        <v>3.5000000000000001E-3</v>
      </c>
      <c r="X226" s="1">
        <v>5.5E-2</v>
      </c>
      <c r="Y226" s="1">
        <v>-6.3799999999999996E-2</v>
      </c>
      <c r="Z226" s="1">
        <f t="shared" si="71"/>
        <v>1.1599999999999999</v>
      </c>
      <c r="AB226" t="s">
        <v>9</v>
      </c>
      <c r="AC226">
        <v>0.5</v>
      </c>
      <c r="AD226">
        <v>0.9</v>
      </c>
      <c r="AE226">
        <v>3.29E-3</v>
      </c>
      <c r="AF226">
        <v>3.49E-3</v>
      </c>
      <c r="AG226" s="1">
        <v>5.5E-2</v>
      </c>
      <c r="AH226" s="1">
        <v>-6.1899999999999997E-2</v>
      </c>
      <c r="AI226" s="1">
        <f t="shared" si="72"/>
        <v>1.1254545454545455</v>
      </c>
      <c r="AK226" t="s">
        <v>9</v>
      </c>
      <c r="AL226">
        <v>0.5</v>
      </c>
      <c r="AM226">
        <v>0.9</v>
      </c>
      <c r="AN226">
        <v>3.29E-3</v>
      </c>
      <c r="AO226">
        <v>3.49E-3</v>
      </c>
      <c r="AP226" s="1">
        <v>5.5E-2</v>
      </c>
      <c r="AQ226" s="1">
        <v>-6.2E-2</v>
      </c>
      <c r="AR226" s="1">
        <f t="shared" si="73"/>
        <v>1.1272727272727272</v>
      </c>
      <c r="AT226" s="12">
        <f t="shared" si="68"/>
        <v>2.3959336384137392E-3</v>
      </c>
      <c r="AU226" s="7">
        <f t="shared" si="74"/>
        <v>-6.139817629179329E-2</v>
      </c>
    </row>
    <row r="227" spans="1:54" x14ac:dyDescent="0.35">
      <c r="A227" s="17" t="s">
        <v>9</v>
      </c>
      <c r="B227">
        <v>1</v>
      </c>
      <c r="C227">
        <v>0.9</v>
      </c>
      <c r="D227">
        <v>1.2099999999999999E-3</v>
      </c>
      <c r="E227">
        <v>1.24E-3</v>
      </c>
      <c r="F227" s="1">
        <v>0.109</v>
      </c>
      <c r="G227" s="1">
        <v>-2.58E-2</v>
      </c>
      <c r="H227" s="1">
        <f t="shared" si="69"/>
        <v>0.23669724770642203</v>
      </c>
      <c r="J227" t="s">
        <v>9</v>
      </c>
      <c r="K227">
        <v>1</v>
      </c>
      <c r="L227">
        <v>0.9</v>
      </c>
      <c r="M227">
        <v>1.2099999999999999E-3</v>
      </c>
      <c r="N227">
        <v>1.24E-3</v>
      </c>
      <c r="O227" s="1">
        <v>0.109</v>
      </c>
      <c r="P227" s="1">
        <v>-2.4500000000000001E-2</v>
      </c>
      <c r="Q227" s="1">
        <f t="shared" si="70"/>
        <v>0.22477064220183487</v>
      </c>
      <c r="S227" t="s">
        <v>9</v>
      </c>
      <c r="T227">
        <v>1</v>
      </c>
      <c r="U227">
        <v>0.9</v>
      </c>
      <c r="V227">
        <v>1.2099999999999999E-3</v>
      </c>
      <c r="W227">
        <v>1.24E-3</v>
      </c>
      <c r="X227" s="1">
        <v>0.109</v>
      </c>
      <c r="Y227" s="1">
        <v>-2.5399999999999999E-2</v>
      </c>
      <c r="Z227" s="1">
        <f t="shared" si="71"/>
        <v>0.2330275229357798</v>
      </c>
      <c r="AB227" t="s">
        <v>9</v>
      </c>
      <c r="AC227">
        <v>1</v>
      </c>
      <c r="AD227">
        <v>0.9</v>
      </c>
      <c r="AE227">
        <v>1.2099999999999999E-3</v>
      </c>
      <c r="AF227">
        <v>1.25E-3</v>
      </c>
      <c r="AG227" s="1">
        <v>0.109</v>
      </c>
      <c r="AH227" s="1">
        <v>-3.0200000000000001E-2</v>
      </c>
      <c r="AI227" s="1">
        <f t="shared" si="72"/>
        <v>0.27706422018348625</v>
      </c>
      <c r="AK227" t="s">
        <v>9</v>
      </c>
      <c r="AL227">
        <v>1</v>
      </c>
      <c r="AM227">
        <v>0.9</v>
      </c>
      <c r="AN227">
        <v>1.2099999999999999E-3</v>
      </c>
      <c r="AO227">
        <v>1.24E-3</v>
      </c>
      <c r="AP227" s="1">
        <v>0.109</v>
      </c>
      <c r="AQ227" s="1">
        <v>-2.53E-2</v>
      </c>
      <c r="AR227" s="1">
        <f t="shared" si="73"/>
        <v>0.23211009174311925</v>
      </c>
      <c r="AT227" s="12">
        <f>STDEV(AO227,AF227,W227,N227,E227)/ AVERAGE(AO227,AF227,W227,N227,E227)</f>
        <v>3.6007535869561928E-3</v>
      </c>
      <c r="AU227" s="7">
        <f t="shared" si="74"/>
        <v>-2.6446280991735464E-2</v>
      </c>
    </row>
    <row r="229" spans="1:54" x14ac:dyDescent="0.35">
      <c r="A229" s="6" t="s">
        <v>21</v>
      </c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</row>
    <row r="230" spans="1:54" x14ac:dyDescent="0.35">
      <c r="A230" s="17" t="s">
        <v>0</v>
      </c>
      <c r="B230" t="s">
        <v>1</v>
      </c>
      <c r="C230" t="s">
        <v>2</v>
      </c>
      <c r="D230" t="s">
        <v>3</v>
      </c>
      <c r="E230" t="s">
        <v>4</v>
      </c>
      <c r="F230" t="s">
        <v>5</v>
      </c>
      <c r="G230" t="s">
        <v>6</v>
      </c>
      <c r="J230" t="s">
        <v>0</v>
      </c>
      <c r="K230" t="s">
        <v>1</v>
      </c>
      <c r="L230" t="s">
        <v>2</v>
      </c>
      <c r="M230" t="s">
        <v>3</v>
      </c>
      <c r="N230" t="s">
        <v>4</v>
      </c>
      <c r="O230" t="s">
        <v>5</v>
      </c>
      <c r="P230" t="s">
        <v>6</v>
      </c>
      <c r="S230" t="s">
        <v>0</v>
      </c>
      <c r="T230" t="s">
        <v>1</v>
      </c>
      <c r="U230" t="s">
        <v>2</v>
      </c>
      <c r="V230" t="s">
        <v>3</v>
      </c>
      <c r="W230" t="s">
        <v>4</v>
      </c>
      <c r="X230" t="s">
        <v>5</v>
      </c>
      <c r="Y230" t="s">
        <v>6</v>
      </c>
      <c r="AB230" t="s">
        <v>0</v>
      </c>
      <c r="AC230" t="s">
        <v>1</v>
      </c>
      <c r="AD230" t="s">
        <v>2</v>
      </c>
      <c r="AE230" t="s">
        <v>3</v>
      </c>
      <c r="AF230" t="s">
        <v>4</v>
      </c>
      <c r="AG230" t="s">
        <v>5</v>
      </c>
      <c r="AH230" t="s">
        <v>6</v>
      </c>
      <c r="AN230" s="6" t="s">
        <v>21</v>
      </c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</row>
    <row r="231" spans="1:54" x14ac:dyDescent="0.35">
      <c r="A231" s="17" t="s">
        <v>7</v>
      </c>
      <c r="B231">
        <v>0.8</v>
      </c>
      <c r="C231">
        <v>0.2</v>
      </c>
      <c r="D231">
        <v>0.16200000000000001</v>
      </c>
      <c r="E231">
        <v>0.16200000000000001</v>
      </c>
      <c r="F231" s="1">
        <v>0</v>
      </c>
      <c r="G231" s="1">
        <v>1E-3</v>
      </c>
      <c r="H231" s="1" t="e">
        <f>ABS(G231/F231)</f>
        <v>#DIV/0!</v>
      </c>
      <c r="J231" t="s">
        <v>7</v>
      </c>
      <c r="K231">
        <v>0.8</v>
      </c>
      <c r="L231">
        <v>0.2</v>
      </c>
      <c r="M231">
        <v>0.16200000000000001</v>
      </c>
      <c r="N231">
        <v>0.16200000000000001</v>
      </c>
      <c r="O231" s="1">
        <v>0</v>
      </c>
      <c r="P231" s="1">
        <v>6.9999999999999999E-4</v>
      </c>
      <c r="Q231" s="1" t="e">
        <f>ABS(P231/O231)</f>
        <v>#DIV/0!</v>
      </c>
      <c r="S231" t="s">
        <v>7</v>
      </c>
      <c r="T231">
        <v>0.8</v>
      </c>
      <c r="U231">
        <v>0.2</v>
      </c>
      <c r="V231">
        <v>0.16200000000000001</v>
      </c>
      <c r="W231">
        <v>0.16200000000000001</v>
      </c>
      <c r="X231" s="1">
        <v>0</v>
      </c>
      <c r="Y231" s="1">
        <v>5.0000000000000001E-4</v>
      </c>
      <c r="Z231" s="1" t="e">
        <f>ABS(Y231/X231)</f>
        <v>#DIV/0!</v>
      </c>
      <c r="AB231" t="s">
        <v>7</v>
      </c>
      <c r="AC231">
        <v>0.8</v>
      </c>
      <c r="AD231">
        <v>0.2</v>
      </c>
      <c r="AE231">
        <v>0.16200000000000001</v>
      </c>
      <c r="AF231">
        <v>0.16200000000000001</v>
      </c>
      <c r="AG231" s="1">
        <v>0</v>
      </c>
      <c r="AH231" s="1">
        <v>8.0000000000000004E-4</v>
      </c>
      <c r="AI231" s="1" t="e">
        <f>ABS(AH231/AG231)</f>
        <v>#DIV/0!</v>
      </c>
      <c r="AT231" s="13">
        <f t="shared" ref="AT231:AT247" si="75">STDEV(AO231,AF231,W231,N231,E231)/ AVERAGE(AO231,AF231,W231,N231,E231)</f>
        <v>0</v>
      </c>
      <c r="AU231" s="8">
        <f>( D231 - AVERAGE(AO231,AF231,W231,N231,E231))/ D231</f>
        <v>0</v>
      </c>
    </row>
    <row r="232" spans="1:54" x14ac:dyDescent="0.35">
      <c r="A232" s="17" t="s">
        <v>7</v>
      </c>
      <c r="B232">
        <v>4</v>
      </c>
      <c r="C232">
        <v>0.2</v>
      </c>
      <c r="D232">
        <v>2.2699999999999999E-3</v>
      </c>
      <c r="E232">
        <v>2.2599999999999999E-3</v>
      </c>
      <c r="F232" s="1">
        <v>2E-3</v>
      </c>
      <c r="G232" s="1">
        <v>6.4000000000000003E-3</v>
      </c>
      <c r="H232" s="1">
        <f t="shared" ref="H232:H248" si="76">ABS(G232/F232)</f>
        <v>3.2</v>
      </c>
      <c r="J232" t="s">
        <v>7</v>
      </c>
      <c r="K232">
        <v>4</v>
      </c>
      <c r="L232">
        <v>0.2</v>
      </c>
      <c r="M232">
        <v>2.2699999999999999E-3</v>
      </c>
      <c r="N232">
        <v>2.2699999999999999E-3</v>
      </c>
      <c r="O232" s="1">
        <v>2E-3</v>
      </c>
      <c r="P232" s="1">
        <v>2.9999999999999997E-4</v>
      </c>
      <c r="Q232" s="1">
        <f t="shared" ref="Q232:Q248" si="77">ABS(P232/O232)</f>
        <v>0.15</v>
      </c>
      <c r="S232" t="s">
        <v>7</v>
      </c>
      <c r="T232">
        <v>4</v>
      </c>
      <c r="U232">
        <v>0.2</v>
      </c>
      <c r="V232">
        <v>2.2699999999999999E-3</v>
      </c>
      <c r="W232">
        <v>2.2699999999999999E-3</v>
      </c>
      <c r="X232" s="1">
        <v>2E-3</v>
      </c>
      <c r="Y232" s="1">
        <v>2E-3</v>
      </c>
      <c r="Z232" s="1">
        <f t="shared" ref="Z232:Z248" si="78">ABS(Y232/X232)</f>
        <v>1</v>
      </c>
      <c r="AB232" t="s">
        <v>7</v>
      </c>
      <c r="AC232">
        <v>4</v>
      </c>
      <c r="AD232">
        <v>0.2</v>
      </c>
      <c r="AE232">
        <v>2.2699999999999999E-3</v>
      </c>
      <c r="AF232">
        <v>2.2699999999999999E-3</v>
      </c>
      <c r="AG232" s="1">
        <v>2E-3</v>
      </c>
      <c r="AH232" s="1">
        <v>-1.1999999999999999E-3</v>
      </c>
      <c r="AI232" s="1">
        <f t="shared" ref="AI232:AI248" si="79">ABS(AH232/AG232)</f>
        <v>0.6</v>
      </c>
      <c r="AT232" s="13">
        <f t="shared" si="75"/>
        <v>2.2050716648291126E-3</v>
      </c>
      <c r="AU232" s="8">
        <f t="shared" ref="AU232:AU248" si="80">( D232 - AVERAGE(AO232,AF232,W232,N232,E232))/ D232</f>
        <v>1.1013215859030389E-3</v>
      </c>
    </row>
    <row r="233" spans="1:54" x14ac:dyDescent="0.35">
      <c r="A233" s="17" t="s">
        <v>7</v>
      </c>
      <c r="B233">
        <v>8</v>
      </c>
      <c r="C233">
        <v>0.2</v>
      </c>
      <c r="D233">
        <v>1.2999999999999999E-5</v>
      </c>
      <c r="E233">
        <v>1.27E-5</v>
      </c>
      <c r="F233" s="1">
        <v>4.7E-2</v>
      </c>
      <c r="G233" s="1">
        <v>2.3800000000000002E-2</v>
      </c>
      <c r="H233" s="1">
        <f t="shared" si="76"/>
        <v>0.50638297872340432</v>
      </c>
      <c r="J233" t="s">
        <v>7</v>
      </c>
      <c r="K233">
        <v>8</v>
      </c>
      <c r="L233">
        <v>0.2</v>
      </c>
      <c r="M233">
        <v>1.2999999999999999E-5</v>
      </c>
      <c r="N233">
        <v>1.34E-5</v>
      </c>
      <c r="O233" s="1">
        <v>4.7E-2</v>
      </c>
      <c r="P233" s="1">
        <v>-3.4599999999999999E-2</v>
      </c>
      <c r="Q233" s="1">
        <f t="shared" si="77"/>
        <v>0.7361702127659574</v>
      </c>
      <c r="S233" t="s">
        <v>7</v>
      </c>
      <c r="T233">
        <v>8</v>
      </c>
      <c r="U233">
        <v>0.2</v>
      </c>
      <c r="V233">
        <v>1.2999999999999999E-5</v>
      </c>
      <c r="W233">
        <v>1.2799999999999999E-5</v>
      </c>
      <c r="X233" s="1">
        <v>4.7E-2</v>
      </c>
      <c r="Y233" s="1">
        <v>1.15E-2</v>
      </c>
      <c r="Z233" s="1">
        <f t="shared" si="78"/>
        <v>0.24468085106382978</v>
      </c>
      <c r="AB233" t="s">
        <v>7</v>
      </c>
      <c r="AC233">
        <v>8</v>
      </c>
      <c r="AD233">
        <v>0.2</v>
      </c>
      <c r="AE233">
        <v>1.2999999999999999E-5</v>
      </c>
      <c r="AF233">
        <v>1.31E-5</v>
      </c>
      <c r="AG233" s="1">
        <v>4.7E-2</v>
      </c>
      <c r="AH233" s="1">
        <v>-8.5000000000000006E-3</v>
      </c>
      <c r="AI233" s="1">
        <f t="shared" si="79"/>
        <v>0.18085106382978725</v>
      </c>
      <c r="AT233" s="13">
        <f t="shared" si="75"/>
        <v>2.432521277052601E-2</v>
      </c>
      <c r="AU233" s="8">
        <f t="shared" si="80"/>
        <v>-1.303127611160462E-16</v>
      </c>
    </row>
    <row r="234" spans="1:54" x14ac:dyDescent="0.35">
      <c r="A234" s="17" t="s">
        <v>8</v>
      </c>
      <c r="B234">
        <v>0.8</v>
      </c>
      <c r="C234">
        <v>0.2</v>
      </c>
      <c r="D234">
        <v>9.6599999999999995E-4</v>
      </c>
      <c r="E234">
        <v>9.77E-4</v>
      </c>
      <c r="F234" s="1">
        <v>2.3E-2</v>
      </c>
      <c r="G234" s="1">
        <v>-1.1299999999999999E-2</v>
      </c>
      <c r="H234" s="1">
        <f t="shared" si="76"/>
        <v>0.49130434782608695</v>
      </c>
      <c r="J234" t="s">
        <v>8</v>
      </c>
      <c r="K234">
        <v>0.8</v>
      </c>
      <c r="L234">
        <v>0.2</v>
      </c>
      <c r="M234">
        <v>9.6599999999999995E-4</v>
      </c>
      <c r="N234">
        <v>9.9500000000000001E-4</v>
      </c>
      <c r="O234" s="1">
        <v>2.3E-2</v>
      </c>
      <c r="P234" s="1">
        <v>-2.9700000000000001E-2</v>
      </c>
      <c r="Q234" s="1">
        <f t="shared" si="77"/>
        <v>1.2913043478260871</v>
      </c>
      <c r="S234" t="s">
        <v>8</v>
      </c>
      <c r="T234">
        <v>0.8</v>
      </c>
      <c r="U234">
        <v>0.2</v>
      </c>
      <c r="V234">
        <v>9.6599999999999995E-4</v>
      </c>
      <c r="W234">
        <v>9.7799999999999992E-4</v>
      </c>
      <c r="X234" s="1">
        <v>2.3E-2</v>
      </c>
      <c r="Y234" s="1">
        <v>-1.21E-2</v>
      </c>
      <c r="Z234" s="1">
        <f t="shared" si="78"/>
        <v>0.52608695652173909</v>
      </c>
      <c r="AB234" t="s">
        <v>8</v>
      </c>
      <c r="AC234">
        <v>0.8</v>
      </c>
      <c r="AD234">
        <v>0.2</v>
      </c>
      <c r="AE234">
        <v>9.6599999999999995E-4</v>
      </c>
      <c r="AF234">
        <v>9.8400000000000007E-4</v>
      </c>
      <c r="AG234" s="1">
        <v>2.3E-2</v>
      </c>
      <c r="AH234" s="1">
        <v>-1.84E-2</v>
      </c>
      <c r="AI234" s="1">
        <f t="shared" si="79"/>
        <v>0.8</v>
      </c>
      <c r="AT234" s="14">
        <f t="shared" si="75"/>
        <v>8.4050816930264539E-3</v>
      </c>
      <c r="AU234" s="9">
        <f t="shared" si="80"/>
        <v>-1.8115942028985556E-2</v>
      </c>
    </row>
    <row r="235" spans="1:54" x14ac:dyDescent="0.35">
      <c r="A235" s="17" t="s">
        <v>8</v>
      </c>
      <c r="B235">
        <v>4</v>
      </c>
      <c r="C235">
        <v>0.2</v>
      </c>
      <c r="D235">
        <v>1.3699999999999999E-5</v>
      </c>
      <c r="E235">
        <v>1.5999999999999999E-5</v>
      </c>
      <c r="F235" s="1">
        <v>6.3E-2</v>
      </c>
      <c r="G235" s="1">
        <v>-0.17080000000000001</v>
      </c>
      <c r="H235" s="1">
        <f t="shared" si="76"/>
        <v>2.7111111111111112</v>
      </c>
      <c r="J235" t="s">
        <v>8</v>
      </c>
      <c r="K235">
        <v>4</v>
      </c>
      <c r="L235">
        <v>0.2</v>
      </c>
      <c r="M235">
        <v>1.3699999999999999E-5</v>
      </c>
      <c r="N235">
        <v>1.47E-5</v>
      </c>
      <c r="O235" s="1">
        <v>6.3E-2</v>
      </c>
      <c r="P235" s="1">
        <v>-7.2999999999999995E-2</v>
      </c>
      <c r="Q235" s="1">
        <f t="shared" si="77"/>
        <v>1.1587301587301586</v>
      </c>
      <c r="S235" t="s">
        <v>8</v>
      </c>
      <c r="T235">
        <v>4</v>
      </c>
      <c r="U235">
        <v>0.2</v>
      </c>
      <c r="V235">
        <v>1.3699999999999999E-5</v>
      </c>
      <c r="W235">
        <v>1.33E-5</v>
      </c>
      <c r="X235" s="1">
        <v>6.3E-2</v>
      </c>
      <c r="Y235" s="1">
        <v>2.7E-2</v>
      </c>
      <c r="Z235" s="1">
        <f t="shared" si="78"/>
        <v>0.42857142857142855</v>
      </c>
      <c r="AB235" t="s">
        <v>8</v>
      </c>
      <c r="AC235">
        <v>4</v>
      </c>
      <c r="AD235">
        <v>0.2</v>
      </c>
      <c r="AE235">
        <v>1.3699999999999999E-5</v>
      </c>
      <c r="AF235">
        <v>1.3200000000000001E-5</v>
      </c>
      <c r="AG235" s="1">
        <v>6.3E-2</v>
      </c>
      <c r="AH235" s="1">
        <v>3.9399999999999998E-2</v>
      </c>
      <c r="AI235" s="1">
        <f t="shared" si="79"/>
        <v>0.6253968253968254</v>
      </c>
      <c r="AT235" s="14">
        <f t="shared" si="75"/>
        <v>9.2596848792732861E-2</v>
      </c>
      <c r="AU235" s="9">
        <f t="shared" si="80"/>
        <v>-4.3795620437956158E-2</v>
      </c>
    </row>
    <row r="236" spans="1:54" x14ac:dyDescent="0.35">
      <c r="A236" s="17" t="s">
        <v>8</v>
      </c>
      <c r="B236">
        <v>8</v>
      </c>
      <c r="C236">
        <v>0.2</v>
      </c>
      <c r="D236">
        <v>7.2800000000000003E-8</v>
      </c>
      <c r="E236">
        <v>2.9999999999999997E-8</v>
      </c>
      <c r="F236" s="1">
        <v>0.187</v>
      </c>
      <c r="G236" s="1">
        <v>0.58789999999999998</v>
      </c>
      <c r="H236" s="1">
        <f t="shared" si="76"/>
        <v>3.1438502673796789</v>
      </c>
      <c r="J236" t="s">
        <v>8</v>
      </c>
      <c r="K236">
        <v>8</v>
      </c>
      <c r="L236">
        <v>0.2</v>
      </c>
      <c r="M236">
        <v>7.2800000000000003E-8</v>
      </c>
      <c r="N236">
        <v>2E-8</v>
      </c>
      <c r="O236" s="1">
        <v>0.187</v>
      </c>
      <c r="P236" s="1">
        <v>0.72529999999999994</v>
      </c>
      <c r="Q236" s="1">
        <f t="shared" si="77"/>
        <v>3.878609625668449</v>
      </c>
      <c r="S236" t="s">
        <v>8</v>
      </c>
      <c r="T236">
        <v>8</v>
      </c>
      <c r="U236">
        <v>0.2</v>
      </c>
      <c r="V236">
        <v>7.2800000000000003E-8</v>
      </c>
      <c r="W236">
        <v>1.6999999999999999E-7</v>
      </c>
      <c r="X236" s="1">
        <v>0.187</v>
      </c>
      <c r="Y236" s="1">
        <v>-1.3351999999999999</v>
      </c>
      <c r="Z236" s="1">
        <f t="shared" si="78"/>
        <v>7.1401069518716573</v>
      </c>
      <c r="AB236" t="s">
        <v>8</v>
      </c>
      <c r="AC236">
        <v>8</v>
      </c>
      <c r="AD236">
        <v>0.2</v>
      </c>
      <c r="AE236">
        <v>7.2800000000000003E-8</v>
      </c>
      <c r="AF236">
        <v>7.0000000000000005E-8</v>
      </c>
      <c r="AG236" s="1">
        <v>0.187</v>
      </c>
      <c r="AH236" s="1">
        <v>3.85E-2</v>
      </c>
      <c r="AI236" s="1">
        <f t="shared" si="79"/>
        <v>0.20588235294117646</v>
      </c>
      <c r="AT236" s="14">
        <f t="shared" si="75"/>
        <v>0.94476885462227667</v>
      </c>
      <c r="AU236" s="9">
        <f t="shared" si="80"/>
        <v>4.1208791208792485E-3</v>
      </c>
    </row>
    <row r="237" spans="1:54" x14ac:dyDescent="0.35">
      <c r="A237" s="17" t="s">
        <v>9</v>
      </c>
      <c r="B237">
        <v>0.8</v>
      </c>
      <c r="C237">
        <v>0.2</v>
      </c>
      <c r="D237">
        <v>5.4700000000000001E-5</v>
      </c>
      <c r="E237">
        <v>6.19E-5</v>
      </c>
      <c r="F237" s="1">
        <v>0.06</v>
      </c>
      <c r="G237" s="1">
        <v>-0.1318</v>
      </c>
      <c r="H237" s="1">
        <f t="shared" si="76"/>
        <v>2.1966666666666668</v>
      </c>
      <c r="J237" t="s">
        <v>9</v>
      </c>
      <c r="K237">
        <v>0.8</v>
      </c>
      <c r="L237">
        <v>0.2</v>
      </c>
      <c r="M237">
        <v>5.4700000000000001E-5</v>
      </c>
      <c r="N237">
        <v>6.0099999999999997E-5</v>
      </c>
      <c r="O237" s="1">
        <v>0.06</v>
      </c>
      <c r="P237" s="1">
        <v>-9.8400000000000001E-2</v>
      </c>
      <c r="Q237" s="1">
        <f t="shared" si="77"/>
        <v>1.6400000000000001</v>
      </c>
      <c r="S237" t="s">
        <v>9</v>
      </c>
      <c r="T237">
        <v>0.8</v>
      </c>
      <c r="U237">
        <v>0.2</v>
      </c>
      <c r="V237">
        <v>5.4700000000000001E-5</v>
      </c>
      <c r="W237">
        <v>6.19E-5</v>
      </c>
      <c r="X237" s="1">
        <v>0.06</v>
      </c>
      <c r="Y237" s="1">
        <v>-0.1318</v>
      </c>
      <c r="Z237" s="1">
        <f t="shared" si="78"/>
        <v>2.1966666666666668</v>
      </c>
      <c r="AB237" t="s">
        <v>9</v>
      </c>
      <c r="AC237">
        <v>0.8</v>
      </c>
      <c r="AD237">
        <v>0.2</v>
      </c>
      <c r="AE237">
        <v>5.4700000000000001E-5</v>
      </c>
      <c r="AF237">
        <v>5.9599999999999999E-5</v>
      </c>
      <c r="AG237" s="1">
        <v>0.06</v>
      </c>
      <c r="AH237" s="1">
        <v>-8.9899999999999994E-2</v>
      </c>
      <c r="AI237" s="1">
        <f t="shared" si="79"/>
        <v>1.4983333333333333</v>
      </c>
      <c r="AT237" s="12">
        <f t="shared" si="75"/>
        <v>1.9729629814315114E-2</v>
      </c>
      <c r="AU237" s="7">
        <f t="shared" si="80"/>
        <v>-0.11288848263254114</v>
      </c>
    </row>
    <row r="238" spans="1:54" x14ac:dyDescent="0.35">
      <c r="A238" s="17" t="s">
        <v>9</v>
      </c>
      <c r="B238">
        <v>4</v>
      </c>
      <c r="C238">
        <v>0.2</v>
      </c>
      <c r="D238">
        <v>6.2399999999999998E-7</v>
      </c>
      <c r="E238">
        <v>1.0699999999999999E-6</v>
      </c>
      <c r="F238" s="1">
        <v>0.35499999999999998</v>
      </c>
      <c r="G238" s="1">
        <v>-0.7147</v>
      </c>
      <c r="H238" s="1">
        <f t="shared" si="76"/>
        <v>2.0132394366197186</v>
      </c>
      <c r="J238" t="s">
        <v>9</v>
      </c>
      <c r="K238">
        <v>4</v>
      </c>
      <c r="L238">
        <v>0.2</v>
      </c>
      <c r="M238">
        <v>6.2399999999999998E-7</v>
      </c>
      <c r="N238">
        <v>9.2999999999999999E-7</v>
      </c>
      <c r="O238" s="1">
        <v>0.35499999999999998</v>
      </c>
      <c r="P238" s="1">
        <v>-0.4904</v>
      </c>
      <c r="Q238" s="1">
        <f t="shared" si="77"/>
        <v>1.3814084507042255</v>
      </c>
      <c r="S238" t="s">
        <v>9</v>
      </c>
      <c r="T238">
        <v>4</v>
      </c>
      <c r="U238">
        <v>0.2</v>
      </c>
      <c r="V238">
        <v>6.2399999999999998E-7</v>
      </c>
      <c r="W238">
        <v>8.1999999999999998E-7</v>
      </c>
      <c r="X238" s="1">
        <v>0.35499999999999998</v>
      </c>
      <c r="Y238" s="1">
        <v>-0.31409999999999999</v>
      </c>
      <c r="Z238" s="1">
        <f t="shared" si="78"/>
        <v>0.88478873239436617</v>
      </c>
      <c r="AB238" t="s">
        <v>9</v>
      </c>
      <c r="AC238">
        <v>4</v>
      </c>
      <c r="AD238">
        <v>0.2</v>
      </c>
      <c r="AE238">
        <v>6.2399999999999998E-7</v>
      </c>
      <c r="AF238">
        <v>8.9999999999999996E-7</v>
      </c>
      <c r="AG238" s="1">
        <v>0.35499999999999998</v>
      </c>
      <c r="AH238" s="1">
        <v>-0.44230000000000003</v>
      </c>
      <c r="AI238" s="1">
        <f t="shared" si="79"/>
        <v>1.2459154929577465</v>
      </c>
      <c r="AT238" s="12">
        <f t="shared" si="75"/>
        <v>0.11208957542015689</v>
      </c>
      <c r="AU238" s="7">
        <f t="shared" si="80"/>
        <v>-0.49038461538461542</v>
      </c>
    </row>
    <row r="239" spans="1:54" x14ac:dyDescent="0.35">
      <c r="A239" s="17" t="s">
        <v>9</v>
      </c>
      <c r="B239">
        <v>8</v>
      </c>
      <c r="C239">
        <v>0.2</v>
      </c>
      <c r="D239">
        <v>4.0199999999999998E-9</v>
      </c>
      <c r="E239">
        <v>0</v>
      </c>
      <c r="F239" s="1">
        <v>0.248</v>
      </c>
      <c r="G239" s="1">
        <v>1</v>
      </c>
      <c r="H239" s="1">
        <f t="shared" si="76"/>
        <v>4.032258064516129</v>
      </c>
      <c r="J239" t="s">
        <v>9</v>
      </c>
      <c r="K239">
        <v>8</v>
      </c>
      <c r="L239">
        <v>0.2</v>
      </c>
      <c r="M239">
        <v>4.0199999999999998E-9</v>
      </c>
      <c r="N239">
        <v>0</v>
      </c>
      <c r="O239" s="1">
        <v>0.248</v>
      </c>
      <c r="P239" s="1">
        <v>1</v>
      </c>
      <c r="Q239" s="1">
        <f t="shared" si="77"/>
        <v>4.032258064516129</v>
      </c>
      <c r="S239" t="s">
        <v>9</v>
      </c>
      <c r="T239">
        <v>8</v>
      </c>
      <c r="U239">
        <v>0.2</v>
      </c>
      <c r="V239">
        <v>4.0199999999999998E-9</v>
      </c>
      <c r="W239">
        <v>0</v>
      </c>
      <c r="X239" s="1">
        <v>0.248</v>
      </c>
      <c r="Y239" s="1">
        <v>1</v>
      </c>
      <c r="Z239" s="1">
        <f t="shared" si="78"/>
        <v>4.032258064516129</v>
      </c>
      <c r="AB239" t="s">
        <v>9</v>
      </c>
      <c r="AC239">
        <v>8</v>
      </c>
      <c r="AD239">
        <v>0.2</v>
      </c>
      <c r="AE239">
        <v>4.0199999999999998E-9</v>
      </c>
      <c r="AF239">
        <v>0</v>
      </c>
      <c r="AG239" s="1">
        <v>0.248</v>
      </c>
      <c r="AH239" s="1">
        <v>1</v>
      </c>
      <c r="AI239" s="1">
        <f t="shared" si="79"/>
        <v>4.032258064516129</v>
      </c>
      <c r="AT239" s="12" t="e">
        <f t="shared" si="75"/>
        <v>#DIV/0!</v>
      </c>
      <c r="AU239" s="7">
        <f t="shared" si="80"/>
        <v>1</v>
      </c>
    </row>
    <row r="240" spans="1:54" x14ac:dyDescent="0.35">
      <c r="A240" s="17" t="s">
        <v>7</v>
      </c>
      <c r="B240">
        <v>0.1</v>
      </c>
      <c r="C240">
        <v>0.9</v>
      </c>
      <c r="D240">
        <v>0.41299999999999998</v>
      </c>
      <c r="E240">
        <v>0.41399999999999998</v>
      </c>
      <c r="F240" s="1">
        <v>1E-3</v>
      </c>
      <c r="G240" s="1">
        <v>-1.4E-3</v>
      </c>
      <c r="H240" s="1">
        <f t="shared" si="76"/>
        <v>1.4</v>
      </c>
      <c r="J240" t="s">
        <v>7</v>
      </c>
      <c r="K240">
        <v>0.1</v>
      </c>
      <c r="L240">
        <v>0.9</v>
      </c>
      <c r="M240">
        <v>0.41299999999999998</v>
      </c>
      <c r="N240">
        <v>0.41399999999999998</v>
      </c>
      <c r="O240" s="1">
        <v>1E-3</v>
      </c>
      <c r="P240" s="1">
        <v>-1.5E-3</v>
      </c>
      <c r="Q240" s="1">
        <f t="shared" si="77"/>
        <v>1.5</v>
      </c>
      <c r="S240" t="s">
        <v>7</v>
      </c>
      <c r="T240">
        <v>0.1</v>
      </c>
      <c r="U240">
        <v>0.9</v>
      </c>
      <c r="V240">
        <v>0.41299999999999998</v>
      </c>
      <c r="W240">
        <v>0.41399999999999998</v>
      </c>
      <c r="X240" s="1">
        <v>1E-3</v>
      </c>
      <c r="Y240" s="1">
        <v>-1.5E-3</v>
      </c>
      <c r="Z240" s="1">
        <f t="shared" si="78"/>
        <v>1.5</v>
      </c>
      <c r="AB240" t="s">
        <v>7</v>
      </c>
      <c r="AC240">
        <v>0.1</v>
      </c>
      <c r="AD240">
        <v>0.9</v>
      </c>
      <c r="AE240">
        <v>0.41299999999999998</v>
      </c>
      <c r="AF240">
        <v>0.41399999999999998</v>
      </c>
      <c r="AG240" s="1">
        <v>1E-3</v>
      </c>
      <c r="AH240" s="1">
        <v>-1.5E-3</v>
      </c>
      <c r="AI240" s="1">
        <f t="shared" si="79"/>
        <v>1.5</v>
      </c>
      <c r="AT240" s="13">
        <f t="shared" si="75"/>
        <v>0</v>
      </c>
      <c r="AU240" s="8">
        <f t="shared" si="80"/>
        <v>-2.421307506053271E-3</v>
      </c>
    </row>
    <row r="241" spans="1:54" x14ac:dyDescent="0.35">
      <c r="A241" s="17" t="s">
        <v>7</v>
      </c>
      <c r="B241">
        <v>0.5</v>
      </c>
      <c r="C241">
        <v>0.9</v>
      </c>
      <c r="D241">
        <v>0.187</v>
      </c>
      <c r="E241">
        <v>0.184</v>
      </c>
      <c r="F241" s="1">
        <v>5.0000000000000001E-3</v>
      </c>
      <c r="G241" s="1">
        <v>1.66E-2</v>
      </c>
      <c r="H241" s="1">
        <f t="shared" si="76"/>
        <v>3.32</v>
      </c>
      <c r="J241" t="s">
        <v>7</v>
      </c>
      <c r="K241">
        <v>0.5</v>
      </c>
      <c r="L241">
        <v>0.9</v>
      </c>
      <c r="M241">
        <v>0.187</v>
      </c>
      <c r="N241">
        <v>0.184</v>
      </c>
      <c r="O241" s="1">
        <v>5.0000000000000001E-3</v>
      </c>
      <c r="P241" s="1">
        <v>1.66E-2</v>
      </c>
      <c r="Q241" s="1">
        <f t="shared" si="77"/>
        <v>3.32</v>
      </c>
      <c r="S241" t="s">
        <v>7</v>
      </c>
      <c r="T241">
        <v>0.5</v>
      </c>
      <c r="U241">
        <v>0.9</v>
      </c>
      <c r="V241">
        <v>0.187</v>
      </c>
      <c r="W241">
        <v>0.184</v>
      </c>
      <c r="X241" s="1">
        <v>5.0000000000000001E-3</v>
      </c>
      <c r="Y241" s="1">
        <v>1.66E-2</v>
      </c>
      <c r="Z241" s="1">
        <f t="shared" si="78"/>
        <v>3.32</v>
      </c>
      <c r="AB241" t="s">
        <v>7</v>
      </c>
      <c r="AC241">
        <v>0.5</v>
      </c>
      <c r="AD241">
        <v>0.9</v>
      </c>
      <c r="AE241">
        <v>0.187</v>
      </c>
      <c r="AF241">
        <v>0.184</v>
      </c>
      <c r="AG241" s="1">
        <v>5.0000000000000001E-3</v>
      </c>
      <c r="AH241" s="1">
        <v>1.6400000000000001E-2</v>
      </c>
      <c r="AI241" s="1">
        <f t="shared" si="79"/>
        <v>3.2800000000000002</v>
      </c>
      <c r="AT241" s="13">
        <f t="shared" si="75"/>
        <v>0</v>
      </c>
      <c r="AU241" s="8">
        <f t="shared" si="80"/>
        <v>1.6042780748663117E-2</v>
      </c>
    </row>
    <row r="242" spans="1:54" x14ac:dyDescent="0.35">
      <c r="A242" s="17" t="s">
        <v>7</v>
      </c>
      <c r="B242">
        <v>1</v>
      </c>
      <c r="C242">
        <v>0.9</v>
      </c>
      <c r="D242">
        <v>6.8500000000000005E-2</v>
      </c>
      <c r="E242">
        <v>6.6199999999999995E-2</v>
      </c>
      <c r="F242" s="1">
        <v>0.01</v>
      </c>
      <c r="G242" s="1">
        <v>3.39E-2</v>
      </c>
      <c r="H242" s="1">
        <f t="shared" si="76"/>
        <v>3.3899999999999997</v>
      </c>
      <c r="J242" t="s">
        <v>7</v>
      </c>
      <c r="K242">
        <v>1</v>
      </c>
      <c r="L242">
        <v>0.9</v>
      </c>
      <c r="M242">
        <v>6.8500000000000005E-2</v>
      </c>
      <c r="N242">
        <v>6.6199999999999995E-2</v>
      </c>
      <c r="O242" s="1">
        <v>0.01</v>
      </c>
      <c r="P242" s="1">
        <v>3.3500000000000002E-2</v>
      </c>
      <c r="Q242" s="1">
        <f t="shared" si="77"/>
        <v>3.35</v>
      </c>
      <c r="S242" t="s">
        <v>7</v>
      </c>
      <c r="T242">
        <v>1</v>
      </c>
      <c r="U242">
        <v>0.9</v>
      </c>
      <c r="V242">
        <v>6.8500000000000005E-2</v>
      </c>
      <c r="W242">
        <v>6.6199999999999995E-2</v>
      </c>
      <c r="X242" s="1">
        <v>0.01</v>
      </c>
      <c r="Y242" s="1">
        <v>3.4099999999999998E-2</v>
      </c>
      <c r="Z242" s="1">
        <f t="shared" si="78"/>
        <v>3.4099999999999997</v>
      </c>
      <c r="AB242" t="s">
        <v>7</v>
      </c>
      <c r="AC242">
        <v>1</v>
      </c>
      <c r="AD242">
        <v>0.9</v>
      </c>
      <c r="AE242">
        <v>6.8500000000000005E-2</v>
      </c>
      <c r="AF242">
        <v>6.6199999999999995E-2</v>
      </c>
      <c r="AG242" s="1">
        <v>0.01</v>
      </c>
      <c r="AH242" s="1">
        <v>3.3799999999999997E-2</v>
      </c>
      <c r="AI242" s="1">
        <f t="shared" si="79"/>
        <v>3.3799999999999994</v>
      </c>
      <c r="AT242" s="13">
        <f t="shared" si="75"/>
        <v>0</v>
      </c>
      <c r="AU242" s="8">
        <f t="shared" si="80"/>
        <v>3.3576642335766571E-2</v>
      </c>
    </row>
    <row r="243" spans="1:54" x14ac:dyDescent="0.35">
      <c r="A243" s="17" t="s">
        <v>8</v>
      </c>
      <c r="B243">
        <v>0.1</v>
      </c>
      <c r="C243">
        <v>0.9</v>
      </c>
      <c r="D243">
        <v>9.3100000000000002E-2</v>
      </c>
      <c r="E243">
        <v>9.6100000000000005E-2</v>
      </c>
      <c r="F243" s="1">
        <v>2.1000000000000001E-2</v>
      </c>
      <c r="G243" s="1">
        <v>-3.27E-2</v>
      </c>
      <c r="H243" s="1">
        <f t="shared" si="76"/>
        <v>1.5571428571428569</v>
      </c>
      <c r="J243" t="s">
        <v>8</v>
      </c>
      <c r="K243">
        <v>0.1</v>
      </c>
      <c r="L243">
        <v>0.9</v>
      </c>
      <c r="M243">
        <v>9.3100000000000002E-2</v>
      </c>
      <c r="N243">
        <v>9.6199999999999994E-2</v>
      </c>
      <c r="O243" s="1">
        <v>2.1000000000000001E-2</v>
      </c>
      <c r="P243" s="1">
        <v>-3.3000000000000002E-2</v>
      </c>
      <c r="Q243" s="1">
        <f t="shared" si="77"/>
        <v>1.5714285714285714</v>
      </c>
      <c r="S243" t="s">
        <v>8</v>
      </c>
      <c r="T243">
        <v>0.1</v>
      </c>
      <c r="U243">
        <v>0.9</v>
      </c>
      <c r="V243">
        <v>9.3100000000000002E-2</v>
      </c>
      <c r="W243">
        <v>9.6199999999999994E-2</v>
      </c>
      <c r="X243" s="1">
        <v>2.1000000000000001E-2</v>
      </c>
      <c r="Y243" s="1">
        <v>-3.3799999999999997E-2</v>
      </c>
      <c r="Z243" s="1">
        <f t="shared" si="78"/>
        <v>1.6095238095238094</v>
      </c>
      <c r="AB243" t="s">
        <v>8</v>
      </c>
      <c r="AC243">
        <v>0.1</v>
      </c>
      <c r="AD243">
        <v>0.9</v>
      </c>
      <c r="AE243">
        <v>9.3100000000000002E-2</v>
      </c>
      <c r="AF243">
        <v>9.6199999999999994E-2</v>
      </c>
      <c r="AG243" s="1">
        <v>2.1000000000000001E-2</v>
      </c>
      <c r="AH243" s="1">
        <v>-3.3300000000000003E-2</v>
      </c>
      <c r="AI243" s="1">
        <f t="shared" si="79"/>
        <v>1.5857142857142859</v>
      </c>
      <c r="AT243" s="14">
        <f t="shared" si="75"/>
        <v>5.1988562516240696E-4</v>
      </c>
      <c r="AU243" s="9">
        <f t="shared" si="80"/>
        <v>-3.3029001074113794E-2</v>
      </c>
    </row>
    <row r="244" spans="1:54" x14ac:dyDescent="0.35">
      <c r="A244" s="17" t="s">
        <v>8</v>
      </c>
      <c r="B244">
        <v>0.5</v>
      </c>
      <c r="C244">
        <v>0.9</v>
      </c>
      <c r="D244">
        <v>4.6300000000000001E-2</v>
      </c>
      <c r="E244">
        <v>4.6600000000000003E-2</v>
      </c>
      <c r="F244" s="1">
        <v>1.7000000000000001E-2</v>
      </c>
      <c r="G244" s="1">
        <v>-5.7999999999999996E-3</v>
      </c>
      <c r="H244" s="1">
        <f t="shared" si="76"/>
        <v>0.34117647058823525</v>
      </c>
      <c r="J244" t="s">
        <v>8</v>
      </c>
      <c r="K244">
        <v>0.5</v>
      </c>
      <c r="L244">
        <v>0.9</v>
      </c>
      <c r="M244">
        <v>4.6300000000000001E-2</v>
      </c>
      <c r="N244">
        <v>4.65E-2</v>
      </c>
      <c r="O244" s="1">
        <v>1.7000000000000001E-2</v>
      </c>
      <c r="P244" s="1">
        <v>-4.4999999999999997E-3</v>
      </c>
      <c r="Q244" s="1">
        <f t="shared" si="77"/>
        <v>0.26470588235294112</v>
      </c>
      <c r="S244" t="s">
        <v>8</v>
      </c>
      <c r="T244">
        <v>0.5</v>
      </c>
      <c r="U244">
        <v>0.9</v>
      </c>
      <c r="V244">
        <v>4.6300000000000001E-2</v>
      </c>
      <c r="W244">
        <v>4.6600000000000003E-2</v>
      </c>
      <c r="X244" s="1">
        <v>1.7000000000000001E-2</v>
      </c>
      <c r="Y244" s="1">
        <v>-6.3E-3</v>
      </c>
      <c r="Z244" s="1">
        <f t="shared" si="78"/>
        <v>0.37058823529411761</v>
      </c>
      <c r="AB244" t="s">
        <v>8</v>
      </c>
      <c r="AC244">
        <v>0.5</v>
      </c>
      <c r="AD244">
        <v>0.9</v>
      </c>
      <c r="AE244">
        <v>4.6300000000000001E-2</v>
      </c>
      <c r="AF244">
        <v>4.6600000000000003E-2</v>
      </c>
      <c r="AG244" s="1">
        <v>1.7000000000000001E-2</v>
      </c>
      <c r="AH244" s="1">
        <v>-5.7999999999999996E-3</v>
      </c>
      <c r="AI244" s="1">
        <f t="shared" si="79"/>
        <v>0.34117647058823525</v>
      </c>
      <c r="AT244" s="14">
        <f t="shared" si="75"/>
        <v>1.0735373054213942E-3</v>
      </c>
      <c r="AU244" s="9">
        <f t="shared" si="80"/>
        <v>-5.9395248380129046E-3</v>
      </c>
    </row>
    <row r="245" spans="1:54" x14ac:dyDescent="0.35">
      <c r="A245" s="17" t="s">
        <v>8</v>
      </c>
      <c r="B245">
        <v>1</v>
      </c>
      <c r="C245">
        <v>0.9</v>
      </c>
      <c r="D245">
        <v>1.6500000000000001E-2</v>
      </c>
      <c r="E245">
        <v>1.6199999999999999E-2</v>
      </c>
      <c r="F245" s="1">
        <v>1.4E-2</v>
      </c>
      <c r="G245" s="1">
        <v>1.9900000000000001E-2</v>
      </c>
      <c r="H245" s="1">
        <f t="shared" si="76"/>
        <v>1.4214285714285715</v>
      </c>
      <c r="J245" t="s">
        <v>8</v>
      </c>
      <c r="K245">
        <v>1</v>
      </c>
      <c r="L245">
        <v>0.9</v>
      </c>
      <c r="M245">
        <v>1.6500000000000001E-2</v>
      </c>
      <c r="N245">
        <v>1.61E-2</v>
      </c>
      <c r="O245" s="1">
        <v>1.4E-2</v>
      </c>
      <c r="P245" s="1">
        <v>2.1499999999999998E-2</v>
      </c>
      <c r="Q245" s="1">
        <f t="shared" si="77"/>
        <v>1.5357142857142856</v>
      </c>
      <c r="S245" t="s">
        <v>8</v>
      </c>
      <c r="T245">
        <v>1</v>
      </c>
      <c r="U245">
        <v>0.9</v>
      </c>
      <c r="V245">
        <v>1.6500000000000001E-2</v>
      </c>
      <c r="W245">
        <v>1.61E-2</v>
      </c>
      <c r="X245" s="1">
        <v>1.4E-2</v>
      </c>
      <c r="Y245" s="1">
        <v>2.2100000000000002E-2</v>
      </c>
      <c r="Z245" s="1">
        <f t="shared" si="78"/>
        <v>1.5785714285714287</v>
      </c>
      <c r="AB245" t="s">
        <v>8</v>
      </c>
      <c r="AC245">
        <v>1</v>
      </c>
      <c r="AD245">
        <v>0.9</v>
      </c>
      <c r="AE245">
        <v>1.6500000000000001E-2</v>
      </c>
      <c r="AF245">
        <v>1.6199999999999999E-2</v>
      </c>
      <c r="AG245" s="1">
        <v>1.4E-2</v>
      </c>
      <c r="AH245" s="1">
        <v>1.6299999999999999E-2</v>
      </c>
      <c r="AI245" s="1">
        <f t="shared" si="79"/>
        <v>1.1642857142857141</v>
      </c>
      <c r="AT245" s="14">
        <f t="shared" si="75"/>
        <v>3.5749242674280018E-3</v>
      </c>
      <c r="AU245" s="9">
        <f t="shared" si="80"/>
        <v>2.1212121212121397E-2</v>
      </c>
    </row>
    <row r="246" spans="1:54" x14ac:dyDescent="0.35">
      <c r="A246" s="17" t="s">
        <v>9</v>
      </c>
      <c r="B246">
        <v>0.1</v>
      </c>
      <c r="C246">
        <v>0.9</v>
      </c>
      <c r="D246">
        <v>6.9899999999999997E-3</v>
      </c>
      <c r="E246">
        <v>7.6E-3</v>
      </c>
      <c r="F246" s="1">
        <v>6.3E-2</v>
      </c>
      <c r="G246" s="1">
        <v>-8.7800000000000003E-2</v>
      </c>
      <c r="H246" s="1">
        <f t="shared" si="76"/>
        <v>1.3936507936507936</v>
      </c>
      <c r="J246" t="s">
        <v>9</v>
      </c>
      <c r="K246">
        <v>0.1</v>
      </c>
      <c r="L246">
        <v>0.9</v>
      </c>
      <c r="M246">
        <v>6.9899999999999997E-3</v>
      </c>
      <c r="N246">
        <v>7.6099999999999996E-3</v>
      </c>
      <c r="O246" s="1">
        <v>6.3E-2</v>
      </c>
      <c r="P246" s="1">
        <v>-8.9300000000000004E-2</v>
      </c>
      <c r="Q246" s="1">
        <f t="shared" si="77"/>
        <v>1.4174603174603175</v>
      </c>
      <c r="S246" t="s">
        <v>9</v>
      </c>
      <c r="T246">
        <v>0.1</v>
      </c>
      <c r="U246">
        <v>0.9</v>
      </c>
      <c r="V246">
        <v>6.9899999999999997E-3</v>
      </c>
      <c r="W246">
        <v>7.5900000000000004E-3</v>
      </c>
      <c r="X246" s="1">
        <v>6.3E-2</v>
      </c>
      <c r="Y246" s="1">
        <v>-8.5500000000000007E-2</v>
      </c>
      <c r="Z246" s="1">
        <f t="shared" si="78"/>
        <v>1.3571428571428572</v>
      </c>
      <c r="AB246" t="s">
        <v>9</v>
      </c>
      <c r="AC246">
        <v>0.1</v>
      </c>
      <c r="AD246">
        <v>0.9</v>
      </c>
      <c r="AE246">
        <v>6.9899999999999997E-3</v>
      </c>
      <c r="AF246">
        <v>7.5900000000000004E-3</v>
      </c>
      <c r="AG246" s="1">
        <v>6.3E-2</v>
      </c>
      <c r="AH246" s="1">
        <v>-8.6199999999999999E-2</v>
      </c>
      <c r="AI246" s="1">
        <f t="shared" si="79"/>
        <v>1.3682539682539683</v>
      </c>
      <c r="AT246" s="12">
        <f t="shared" si="75"/>
        <v>1.2601870454179652E-3</v>
      </c>
      <c r="AU246" s="7">
        <f t="shared" si="80"/>
        <v>-8.6909871244635256E-2</v>
      </c>
    </row>
    <row r="247" spans="1:54" x14ac:dyDescent="0.35">
      <c r="A247" s="17" t="s">
        <v>9</v>
      </c>
      <c r="B247">
        <v>0.5</v>
      </c>
      <c r="C247">
        <v>0.9</v>
      </c>
      <c r="D247">
        <v>3.29E-3</v>
      </c>
      <c r="E247">
        <v>3.4199999999999999E-3</v>
      </c>
      <c r="F247" s="1">
        <v>5.5E-2</v>
      </c>
      <c r="G247" s="1">
        <v>-3.9E-2</v>
      </c>
      <c r="H247" s="1">
        <f t="shared" si="76"/>
        <v>0.70909090909090911</v>
      </c>
      <c r="J247" t="s">
        <v>9</v>
      </c>
      <c r="K247">
        <v>0.5</v>
      </c>
      <c r="L247">
        <v>0.9</v>
      </c>
      <c r="M247">
        <v>3.29E-3</v>
      </c>
      <c r="N247">
        <v>3.3899999999999998E-3</v>
      </c>
      <c r="O247" s="1">
        <v>5.5E-2</v>
      </c>
      <c r="P247" s="1">
        <v>-2.9499999999999998E-2</v>
      </c>
      <c r="Q247" s="1">
        <f t="shared" si="77"/>
        <v>0.53636363636363638</v>
      </c>
      <c r="S247" t="s">
        <v>9</v>
      </c>
      <c r="T247">
        <v>0.5</v>
      </c>
      <c r="U247">
        <v>0.9</v>
      </c>
      <c r="V247">
        <v>3.29E-3</v>
      </c>
      <c r="W247">
        <v>3.4099999999999998E-3</v>
      </c>
      <c r="X247" s="1">
        <v>5.5E-2</v>
      </c>
      <c r="Y247" s="1">
        <v>-3.5400000000000001E-2</v>
      </c>
      <c r="Z247" s="1">
        <f t="shared" si="78"/>
        <v>0.64363636363636367</v>
      </c>
      <c r="AB247" t="s">
        <v>9</v>
      </c>
      <c r="AC247">
        <v>0.5</v>
      </c>
      <c r="AD247">
        <v>0.9</v>
      </c>
      <c r="AE247">
        <v>3.29E-3</v>
      </c>
      <c r="AF247">
        <v>3.4299999999999999E-3</v>
      </c>
      <c r="AG247" s="1">
        <v>5.5E-2</v>
      </c>
      <c r="AH247" s="1">
        <v>-4.2299999999999997E-2</v>
      </c>
      <c r="AI247" s="1">
        <f t="shared" si="79"/>
        <v>0.76909090909090905</v>
      </c>
      <c r="AT247" s="12">
        <f t="shared" si="75"/>
        <v>5.0046157587104404E-3</v>
      </c>
      <c r="AU247" s="7">
        <f t="shared" si="80"/>
        <v>-3.7234042553191425E-2</v>
      </c>
    </row>
    <row r="248" spans="1:54" x14ac:dyDescent="0.35">
      <c r="A248" s="17" t="s">
        <v>9</v>
      </c>
      <c r="B248">
        <v>1</v>
      </c>
      <c r="C248">
        <v>0.9</v>
      </c>
      <c r="D248">
        <v>1.2099999999999999E-3</v>
      </c>
      <c r="E248">
        <v>1.2099999999999999E-3</v>
      </c>
      <c r="F248" s="1">
        <v>0.109</v>
      </c>
      <c r="G248" s="1">
        <v>2.5999999999999999E-3</v>
      </c>
      <c r="H248" s="1">
        <f t="shared" si="76"/>
        <v>2.385321100917431E-2</v>
      </c>
      <c r="J248" t="s">
        <v>9</v>
      </c>
      <c r="K248">
        <v>1</v>
      </c>
      <c r="L248">
        <v>0.9</v>
      </c>
      <c r="M248">
        <v>1.2099999999999999E-3</v>
      </c>
      <c r="N248">
        <v>1.2099999999999999E-3</v>
      </c>
      <c r="O248" s="1">
        <v>0.109</v>
      </c>
      <c r="P248" s="1">
        <v>-1.8E-3</v>
      </c>
      <c r="Q248" s="1">
        <f t="shared" si="77"/>
        <v>1.6513761467889909E-2</v>
      </c>
      <c r="S248" t="s">
        <v>9</v>
      </c>
      <c r="T248">
        <v>1</v>
      </c>
      <c r="U248">
        <v>0.9</v>
      </c>
      <c r="V248">
        <v>1.2099999999999999E-3</v>
      </c>
      <c r="W248">
        <v>1.2099999999999999E-3</v>
      </c>
      <c r="X248" s="1">
        <v>0.109</v>
      </c>
      <c r="Y248" s="1">
        <v>0</v>
      </c>
      <c r="Z248" s="1">
        <f t="shared" si="78"/>
        <v>0</v>
      </c>
      <c r="AB248" t="s">
        <v>9</v>
      </c>
      <c r="AC248">
        <v>1</v>
      </c>
      <c r="AD248">
        <v>0.9</v>
      </c>
      <c r="AE248">
        <v>1.2099999999999999E-3</v>
      </c>
      <c r="AF248">
        <v>1.2099999999999999E-3</v>
      </c>
      <c r="AG248" s="1">
        <v>0.109</v>
      </c>
      <c r="AH248" s="1">
        <v>4.0000000000000001E-3</v>
      </c>
      <c r="AI248" s="1">
        <f t="shared" si="79"/>
        <v>3.669724770642202E-2</v>
      </c>
      <c r="AT248" s="12">
        <f>STDEV(AO248,AF248,W248,N248,E248)/ AVERAGE(AO248,AF248,W248,N248,E248)</f>
        <v>0</v>
      </c>
      <c r="AU248" s="7">
        <f t="shared" si="80"/>
        <v>0</v>
      </c>
    </row>
    <row r="250" spans="1:54" x14ac:dyDescent="0.35">
      <c r="A250" s="6" t="s">
        <v>22</v>
      </c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AN250" s="6" t="s">
        <v>22</v>
      </c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</row>
    <row r="251" spans="1:54" x14ac:dyDescent="0.35">
      <c r="A251" s="17" t="s">
        <v>0</v>
      </c>
      <c r="B251" t="s">
        <v>1</v>
      </c>
      <c r="C251" t="s">
        <v>2</v>
      </c>
      <c r="D251" t="s">
        <v>3</v>
      </c>
      <c r="E251" t="s">
        <v>4</v>
      </c>
      <c r="F251" t="s">
        <v>5</v>
      </c>
      <c r="G251" t="s">
        <v>6</v>
      </c>
      <c r="J251" t="s">
        <v>0</v>
      </c>
      <c r="K251" t="s">
        <v>1</v>
      </c>
      <c r="L251" t="s">
        <v>2</v>
      </c>
      <c r="M251" t="s">
        <v>3</v>
      </c>
      <c r="N251" t="s">
        <v>4</v>
      </c>
      <c r="O251" t="s">
        <v>5</v>
      </c>
      <c r="P251" t="s">
        <v>6</v>
      </c>
      <c r="S251" t="s">
        <v>0</v>
      </c>
      <c r="T251" t="s">
        <v>1</v>
      </c>
      <c r="U251" t="s">
        <v>2</v>
      </c>
      <c r="V251" t="s">
        <v>3</v>
      </c>
      <c r="W251" t="s">
        <v>4</v>
      </c>
      <c r="X251" t="s">
        <v>5</v>
      </c>
      <c r="Y251" t="s">
        <v>6</v>
      </c>
      <c r="AB251" t="s">
        <v>0</v>
      </c>
      <c r="AC251" t="s">
        <v>1</v>
      </c>
      <c r="AD251" t="s">
        <v>2</v>
      </c>
      <c r="AE251" t="s">
        <v>3</v>
      </c>
      <c r="AF251" t="s">
        <v>4</v>
      </c>
      <c r="AG251" t="s">
        <v>5</v>
      </c>
      <c r="AH251" t="s">
        <v>6</v>
      </c>
      <c r="AK251" t="s">
        <v>0</v>
      </c>
      <c r="AL251" t="s">
        <v>1</v>
      </c>
      <c r="AM251" t="s">
        <v>2</v>
      </c>
      <c r="AN251" t="s">
        <v>3</v>
      </c>
      <c r="AO251" t="s">
        <v>4</v>
      </c>
      <c r="AP251" t="s">
        <v>5</v>
      </c>
      <c r="AQ251" t="s">
        <v>6</v>
      </c>
      <c r="AT251" s="15"/>
      <c r="AU251"/>
    </row>
    <row r="252" spans="1:54" x14ac:dyDescent="0.35">
      <c r="A252" s="17" t="s">
        <v>7</v>
      </c>
      <c r="B252">
        <v>0.8</v>
      </c>
      <c r="C252">
        <v>0.2</v>
      </c>
      <c r="D252">
        <v>0.16200000000000001</v>
      </c>
      <c r="E252">
        <v>0.16200000000000001</v>
      </c>
      <c r="F252" s="1">
        <v>0</v>
      </c>
      <c r="G252" s="1">
        <v>5.0000000000000001E-4</v>
      </c>
      <c r="H252" s="1" t="e">
        <f>ABS(G252/F252)</f>
        <v>#DIV/0!</v>
      </c>
      <c r="J252" t="s">
        <v>7</v>
      </c>
      <c r="K252">
        <v>0.8</v>
      </c>
      <c r="L252">
        <v>0.2</v>
      </c>
      <c r="M252">
        <v>0.16200000000000001</v>
      </c>
      <c r="N252">
        <v>0.16200000000000001</v>
      </c>
      <c r="O252" s="1">
        <v>0</v>
      </c>
      <c r="P252" s="1">
        <v>8.9999999999999998E-4</v>
      </c>
      <c r="Q252" s="1" t="e">
        <f t="shared" ref="Q252:Q269" si="81">ABS(P252/O252)</f>
        <v>#DIV/0!</v>
      </c>
      <c r="S252" t="s">
        <v>7</v>
      </c>
      <c r="T252">
        <v>0.8</v>
      </c>
      <c r="U252">
        <v>0.2</v>
      </c>
      <c r="V252">
        <v>0.16200000000000001</v>
      </c>
      <c r="W252">
        <v>0.16200000000000001</v>
      </c>
      <c r="X252" s="1">
        <v>0</v>
      </c>
      <c r="Y252" s="1">
        <v>5.0000000000000001E-4</v>
      </c>
      <c r="Z252" s="1" t="e">
        <f t="shared" ref="Z252:Z269" si="82">ABS(Y252/X252)</f>
        <v>#DIV/0!</v>
      </c>
      <c r="AB252" t="s">
        <v>7</v>
      </c>
      <c r="AC252">
        <v>0.8</v>
      </c>
      <c r="AD252">
        <v>0.2</v>
      </c>
      <c r="AE252">
        <v>0.16200000000000001</v>
      </c>
      <c r="AF252">
        <v>0.16200000000000001</v>
      </c>
      <c r="AG252" s="1">
        <v>0</v>
      </c>
      <c r="AH252" s="1">
        <v>6.9999999999999999E-4</v>
      </c>
      <c r="AI252" s="1" t="e">
        <f>ABS(AH252/AG252)</f>
        <v>#DIV/0!</v>
      </c>
      <c r="AK252" t="s">
        <v>7</v>
      </c>
      <c r="AL252">
        <v>0.8</v>
      </c>
      <c r="AM252">
        <v>0.2</v>
      </c>
      <c r="AN252">
        <v>0.16200000000000001</v>
      </c>
      <c r="AO252">
        <v>0.16200000000000001</v>
      </c>
      <c r="AP252" s="1">
        <v>0</v>
      </c>
      <c r="AQ252" s="1">
        <v>8.9999999999999998E-4</v>
      </c>
      <c r="AT252" s="13">
        <f t="shared" ref="AT252:AT268" si="83">STDEV(AO252,AF252,W252,N252,E252)/ AVERAGE(AO252,AF252,W252,N252,E252)</f>
        <v>0</v>
      </c>
      <c r="AU252" s="8">
        <f>( D252 - AVERAGE(AO252,AF252,W252,N252,E252))/ D252</f>
        <v>0</v>
      </c>
    </row>
    <row r="253" spans="1:54" x14ac:dyDescent="0.35">
      <c r="A253" s="17" t="s">
        <v>7</v>
      </c>
      <c r="B253">
        <v>4</v>
      </c>
      <c r="C253">
        <v>0.2</v>
      </c>
      <c r="D253">
        <v>2.2699999999999999E-3</v>
      </c>
      <c r="E253">
        <v>2.2699999999999999E-3</v>
      </c>
      <c r="F253" s="1">
        <v>2E-3</v>
      </c>
      <c r="G253" s="1">
        <v>2.9999999999999997E-4</v>
      </c>
      <c r="H253" s="1">
        <f t="shared" ref="H253:H269" si="84">ABS(G253/F253)</f>
        <v>0.15</v>
      </c>
      <c r="J253" t="s">
        <v>7</v>
      </c>
      <c r="K253">
        <v>4</v>
      </c>
      <c r="L253">
        <v>0.2</v>
      </c>
      <c r="M253">
        <v>2.2699999999999999E-3</v>
      </c>
      <c r="N253">
        <v>2.2599999999999999E-3</v>
      </c>
      <c r="O253" s="1">
        <v>2E-3</v>
      </c>
      <c r="P253" s="1">
        <v>2.3999999999999998E-3</v>
      </c>
      <c r="Q253" s="1">
        <f t="shared" si="81"/>
        <v>1.2</v>
      </c>
      <c r="S253" t="s">
        <v>7</v>
      </c>
      <c r="T253">
        <v>4</v>
      </c>
      <c r="U253">
        <v>0.2</v>
      </c>
      <c r="V253">
        <v>2.2699999999999999E-3</v>
      </c>
      <c r="W253">
        <v>2.2599999999999999E-3</v>
      </c>
      <c r="X253" s="1">
        <v>2E-3</v>
      </c>
      <c r="Y253" s="1">
        <v>4.0000000000000001E-3</v>
      </c>
      <c r="Z253" s="1">
        <f t="shared" si="82"/>
        <v>2</v>
      </c>
      <c r="AB253" t="s">
        <v>7</v>
      </c>
      <c r="AC253">
        <v>4</v>
      </c>
      <c r="AD253">
        <v>0.2</v>
      </c>
      <c r="AE253">
        <v>2.2699999999999999E-3</v>
      </c>
      <c r="AF253">
        <v>2.2699999999999999E-3</v>
      </c>
      <c r="AG253" s="1">
        <v>2E-3</v>
      </c>
      <c r="AH253" s="1">
        <v>-5.9999999999999995E-4</v>
      </c>
      <c r="AI253" s="1">
        <f t="shared" ref="AI253:AI269" si="85">ABS(AH253/AG253)</f>
        <v>0.3</v>
      </c>
      <c r="AK253" t="s">
        <v>7</v>
      </c>
      <c r="AL253">
        <v>4</v>
      </c>
      <c r="AM253">
        <v>0.2</v>
      </c>
      <c r="AN253">
        <v>2.2699999999999999E-3</v>
      </c>
      <c r="AO253">
        <v>2.2699999999999999E-3</v>
      </c>
      <c r="AP253" s="1">
        <v>2E-3</v>
      </c>
      <c r="AQ253" s="1">
        <v>2E-3</v>
      </c>
      <c r="AT253" s="13">
        <f t="shared" si="83"/>
        <v>2.4171339695726723E-3</v>
      </c>
      <c r="AU253" s="8">
        <f t="shared" ref="AU253:AU269" si="86">( D253 - AVERAGE(AO253,AF253,W253,N253,E253))/ D253</f>
        <v>1.7621145374449769E-3</v>
      </c>
    </row>
    <row r="254" spans="1:54" x14ac:dyDescent="0.35">
      <c r="A254" s="17" t="s">
        <v>7</v>
      </c>
      <c r="B254">
        <v>8</v>
      </c>
      <c r="C254">
        <v>0.2</v>
      </c>
      <c r="D254">
        <v>1.2999999999999999E-5</v>
      </c>
      <c r="E254">
        <v>1.2999999999999999E-5</v>
      </c>
      <c r="F254" s="1">
        <v>4.7E-2</v>
      </c>
      <c r="G254" s="1">
        <v>-3.8E-3</v>
      </c>
      <c r="H254" s="1">
        <f t="shared" si="84"/>
        <v>8.085106382978724E-2</v>
      </c>
      <c r="J254" t="s">
        <v>7</v>
      </c>
      <c r="K254">
        <v>8</v>
      </c>
      <c r="L254">
        <v>0.2</v>
      </c>
      <c r="M254">
        <v>1.2999999999999999E-5</v>
      </c>
      <c r="N254">
        <v>1.2999999999999999E-5</v>
      </c>
      <c r="O254" s="1">
        <v>4.7E-2</v>
      </c>
      <c r="P254" s="1">
        <v>3.0999999999999999E-3</v>
      </c>
      <c r="Q254" s="1">
        <f t="shared" si="81"/>
        <v>6.5957446808510636E-2</v>
      </c>
      <c r="S254" t="s">
        <v>7</v>
      </c>
      <c r="T254">
        <v>8</v>
      </c>
      <c r="U254">
        <v>0.2</v>
      </c>
      <c r="V254">
        <v>1.2999999999999999E-5</v>
      </c>
      <c r="W254">
        <v>1.36E-5</v>
      </c>
      <c r="X254" s="1">
        <v>4.7E-2</v>
      </c>
      <c r="Y254" s="1">
        <v>-4.8500000000000001E-2</v>
      </c>
      <c r="Z254" s="1">
        <f t="shared" si="82"/>
        <v>1.0319148936170213</v>
      </c>
      <c r="AB254" t="s">
        <v>7</v>
      </c>
      <c r="AC254">
        <v>8</v>
      </c>
      <c r="AD254">
        <v>0.2</v>
      </c>
      <c r="AE254">
        <v>1.2999999999999999E-5</v>
      </c>
      <c r="AF254">
        <v>1.27E-5</v>
      </c>
      <c r="AG254" s="1">
        <v>4.7E-2</v>
      </c>
      <c r="AH254" s="1">
        <v>2.0799999999999999E-2</v>
      </c>
      <c r="AI254" s="1">
        <f t="shared" si="85"/>
        <v>0.44255319148936167</v>
      </c>
      <c r="AK254" t="s">
        <v>7</v>
      </c>
      <c r="AL254">
        <v>8</v>
      </c>
      <c r="AM254">
        <v>0.2</v>
      </c>
      <c r="AN254">
        <v>1.2999999999999999E-5</v>
      </c>
      <c r="AO254">
        <v>1.31E-5</v>
      </c>
      <c r="AP254" s="1">
        <v>4.7E-2</v>
      </c>
      <c r="AQ254" s="1">
        <v>-0.01</v>
      </c>
      <c r="AT254" s="13">
        <f t="shared" si="83"/>
        <v>2.500829852262405E-2</v>
      </c>
      <c r="AU254" s="8">
        <f t="shared" si="86"/>
        <v>-6.1538461538462258E-3</v>
      </c>
    </row>
    <row r="255" spans="1:54" x14ac:dyDescent="0.35">
      <c r="A255" s="17" t="s">
        <v>8</v>
      </c>
      <c r="B255">
        <v>0.8</v>
      </c>
      <c r="C255">
        <v>0.2</v>
      </c>
      <c r="D255">
        <v>9.6599999999999995E-4</v>
      </c>
      <c r="E255">
        <v>9.8900000000000008E-4</v>
      </c>
      <c r="F255" s="1">
        <v>2.3E-2</v>
      </c>
      <c r="G255" s="1">
        <v>-2.3900000000000001E-2</v>
      </c>
      <c r="H255" s="1">
        <f t="shared" si="84"/>
        <v>1.0391304347826087</v>
      </c>
      <c r="J255" t="s">
        <v>8</v>
      </c>
      <c r="K255">
        <v>0.8</v>
      </c>
      <c r="L255">
        <v>0.2</v>
      </c>
      <c r="M255">
        <v>9.6599999999999995E-4</v>
      </c>
      <c r="N255">
        <v>1E-3</v>
      </c>
      <c r="O255" s="1">
        <v>2.3E-2</v>
      </c>
      <c r="P255" s="1">
        <v>-3.7400000000000003E-2</v>
      </c>
      <c r="Q255" s="1">
        <f t="shared" si="81"/>
        <v>1.6260869565217393</v>
      </c>
      <c r="S255" t="s">
        <v>8</v>
      </c>
      <c r="T255">
        <v>0.8</v>
      </c>
      <c r="U255">
        <v>0.2</v>
      </c>
      <c r="V255">
        <v>9.6599999999999995E-4</v>
      </c>
      <c r="W255">
        <v>1E-3</v>
      </c>
      <c r="X255" s="1">
        <v>2.3E-2</v>
      </c>
      <c r="Y255" s="1">
        <v>-4.02E-2</v>
      </c>
      <c r="Z255" s="1">
        <f t="shared" si="82"/>
        <v>1.7478260869565219</v>
      </c>
      <c r="AB255" t="s">
        <v>8</v>
      </c>
      <c r="AC255">
        <v>0.8</v>
      </c>
      <c r="AD255">
        <v>0.2</v>
      </c>
      <c r="AE255">
        <v>9.6599999999999995E-4</v>
      </c>
      <c r="AF255">
        <v>1.01E-3</v>
      </c>
      <c r="AG255" s="1">
        <v>2.3E-2</v>
      </c>
      <c r="AH255" s="1">
        <v>-4.4299999999999999E-2</v>
      </c>
      <c r="AI255" s="1">
        <f t="shared" si="85"/>
        <v>1.9260869565217391</v>
      </c>
      <c r="AK255" t="s">
        <v>8</v>
      </c>
      <c r="AL255">
        <v>0.8</v>
      </c>
      <c r="AM255">
        <v>0.2</v>
      </c>
      <c r="AN255">
        <v>9.6599999999999995E-4</v>
      </c>
      <c r="AO255">
        <v>1.01E-3</v>
      </c>
      <c r="AP255" s="1">
        <v>2.3E-2</v>
      </c>
      <c r="AQ255" s="1">
        <v>-4.3099999999999999E-2</v>
      </c>
      <c r="AT255" s="14">
        <f t="shared" si="83"/>
        <v>8.7135766990597604E-3</v>
      </c>
      <c r="AU255" s="9">
        <f t="shared" si="86"/>
        <v>-3.7060041407867721E-2</v>
      </c>
    </row>
    <row r="256" spans="1:54" x14ac:dyDescent="0.35">
      <c r="A256" s="17" t="s">
        <v>8</v>
      </c>
      <c r="B256">
        <v>4</v>
      </c>
      <c r="C256">
        <v>0.2</v>
      </c>
      <c r="D256">
        <v>1.3699999999999999E-5</v>
      </c>
      <c r="E256">
        <v>1.27E-5</v>
      </c>
      <c r="F256" s="1">
        <v>6.3E-2</v>
      </c>
      <c r="G256" s="1">
        <v>7.2300000000000003E-2</v>
      </c>
      <c r="H256" s="1">
        <f t="shared" si="84"/>
        <v>1.1476190476190478</v>
      </c>
      <c r="J256" t="s">
        <v>8</v>
      </c>
      <c r="K256">
        <v>4</v>
      </c>
      <c r="L256">
        <v>0.2</v>
      </c>
      <c r="M256">
        <v>1.3699999999999999E-5</v>
      </c>
      <c r="N256">
        <v>1.24E-5</v>
      </c>
      <c r="O256" s="1">
        <v>6.3E-2</v>
      </c>
      <c r="P256" s="1">
        <v>9.4899999999999998E-2</v>
      </c>
      <c r="Q256" s="1">
        <f t="shared" si="81"/>
        <v>1.5063492063492063</v>
      </c>
      <c r="S256" t="s">
        <v>8</v>
      </c>
      <c r="T256">
        <v>4</v>
      </c>
      <c r="U256">
        <v>0.2</v>
      </c>
      <c r="V256">
        <v>1.3699999999999999E-5</v>
      </c>
      <c r="W256">
        <v>1.26E-5</v>
      </c>
      <c r="X256" s="1">
        <v>6.3E-2</v>
      </c>
      <c r="Y256" s="1">
        <v>8.2500000000000004E-2</v>
      </c>
      <c r="Z256" s="1">
        <f t="shared" si="82"/>
        <v>1.3095238095238095</v>
      </c>
      <c r="AB256" t="s">
        <v>8</v>
      </c>
      <c r="AC256">
        <v>4</v>
      </c>
      <c r="AD256">
        <v>0.2</v>
      </c>
      <c r="AE256">
        <v>1.3699999999999999E-5</v>
      </c>
      <c r="AF256">
        <v>1.42E-5</v>
      </c>
      <c r="AG256" s="1">
        <v>6.3E-2</v>
      </c>
      <c r="AH256" s="1">
        <v>-3.5799999999999998E-2</v>
      </c>
      <c r="AI256" s="1">
        <f t="shared" si="85"/>
        <v>0.56825396825396823</v>
      </c>
      <c r="AK256" t="s">
        <v>8</v>
      </c>
      <c r="AL256">
        <v>4</v>
      </c>
      <c r="AM256">
        <v>0.2</v>
      </c>
      <c r="AN256">
        <v>1.3699999999999999E-5</v>
      </c>
      <c r="AO256">
        <v>1.5099999999999999E-5</v>
      </c>
      <c r="AP256" s="1">
        <v>6.3E-2</v>
      </c>
      <c r="AQ256" s="1">
        <v>-0.1036</v>
      </c>
      <c r="AT256" s="14">
        <f t="shared" si="83"/>
        <v>8.8771472040077001E-2</v>
      </c>
      <c r="AU256" s="9">
        <f t="shared" si="86"/>
        <v>2.1897810218978016E-2</v>
      </c>
    </row>
    <row r="257" spans="1:54" x14ac:dyDescent="0.35">
      <c r="A257" s="17" t="s">
        <v>8</v>
      </c>
      <c r="B257">
        <v>8</v>
      </c>
      <c r="C257">
        <v>0.2</v>
      </c>
      <c r="D257">
        <v>7.2800000000000003E-8</v>
      </c>
      <c r="E257">
        <v>2.9999999999999997E-8</v>
      </c>
      <c r="F257" s="1">
        <v>0.187</v>
      </c>
      <c r="G257" s="1">
        <v>0.58789999999999998</v>
      </c>
      <c r="H257" s="1">
        <f t="shared" si="84"/>
        <v>3.1438502673796789</v>
      </c>
      <c r="J257" t="s">
        <v>8</v>
      </c>
      <c r="K257">
        <v>8</v>
      </c>
      <c r="L257">
        <v>0.2</v>
      </c>
      <c r="M257">
        <v>7.2800000000000003E-8</v>
      </c>
      <c r="N257">
        <v>4.0000000000000001E-8</v>
      </c>
      <c r="O257" s="1">
        <v>0.187</v>
      </c>
      <c r="P257" s="1">
        <v>0.45050000000000001</v>
      </c>
      <c r="Q257" s="1">
        <f t="shared" si="81"/>
        <v>2.4090909090909092</v>
      </c>
      <c r="S257" t="s">
        <v>8</v>
      </c>
      <c r="T257">
        <v>8</v>
      </c>
      <c r="U257">
        <v>0.2</v>
      </c>
      <c r="V257">
        <v>7.2800000000000003E-8</v>
      </c>
      <c r="W257">
        <v>7.0000000000000005E-8</v>
      </c>
      <c r="X257" s="1">
        <v>0.187</v>
      </c>
      <c r="Y257" s="1">
        <v>3.85E-2</v>
      </c>
      <c r="Z257" s="1">
        <f t="shared" si="82"/>
        <v>0.20588235294117646</v>
      </c>
      <c r="AB257" t="s">
        <v>8</v>
      </c>
      <c r="AC257">
        <v>8</v>
      </c>
      <c r="AD257">
        <v>0.2</v>
      </c>
      <c r="AE257">
        <v>7.2800000000000003E-8</v>
      </c>
      <c r="AF257">
        <v>8.9999999999999999E-8</v>
      </c>
      <c r="AG257" s="1">
        <v>0.187</v>
      </c>
      <c r="AH257" s="1">
        <v>-0.23630000000000001</v>
      </c>
      <c r="AI257" s="1">
        <f t="shared" si="85"/>
        <v>1.2636363636363637</v>
      </c>
      <c r="AK257" t="s">
        <v>8</v>
      </c>
      <c r="AL257">
        <v>8</v>
      </c>
      <c r="AM257">
        <v>0.2</v>
      </c>
      <c r="AN257">
        <v>7.2800000000000003E-8</v>
      </c>
      <c r="AO257">
        <v>1.4000000000000001E-7</v>
      </c>
      <c r="AP257" s="1">
        <v>0.187</v>
      </c>
      <c r="AQ257" s="1">
        <v>-0.92310000000000003</v>
      </c>
      <c r="AT257" s="14">
        <f t="shared" si="83"/>
        <v>0.59367250368888647</v>
      </c>
      <c r="AU257" s="9">
        <f t="shared" si="86"/>
        <v>-1.6483516483516449E-2</v>
      </c>
    </row>
    <row r="258" spans="1:54" x14ac:dyDescent="0.35">
      <c r="A258" s="17" t="s">
        <v>9</v>
      </c>
      <c r="B258">
        <v>0.8</v>
      </c>
      <c r="C258">
        <v>0.2</v>
      </c>
      <c r="D258">
        <v>5.4700000000000001E-5</v>
      </c>
      <c r="E258">
        <v>5.8699999999999997E-5</v>
      </c>
      <c r="F258" s="1">
        <v>0.06</v>
      </c>
      <c r="G258" s="1">
        <v>-7.2400000000000006E-2</v>
      </c>
      <c r="H258" s="1">
        <f t="shared" si="84"/>
        <v>1.2066666666666668</v>
      </c>
      <c r="J258" t="s">
        <v>9</v>
      </c>
      <c r="K258">
        <v>0.8</v>
      </c>
      <c r="L258">
        <v>0.2</v>
      </c>
      <c r="M258">
        <v>5.4700000000000001E-5</v>
      </c>
      <c r="N258">
        <v>5.7899999999999998E-5</v>
      </c>
      <c r="O258" s="1">
        <v>0.06</v>
      </c>
      <c r="P258" s="1">
        <v>-5.9200000000000003E-2</v>
      </c>
      <c r="Q258" s="1">
        <f t="shared" si="81"/>
        <v>0.98666666666666669</v>
      </c>
      <c r="S258" t="s">
        <v>9</v>
      </c>
      <c r="T258">
        <v>0.8</v>
      </c>
      <c r="U258">
        <v>0.2</v>
      </c>
      <c r="V258">
        <v>5.4700000000000001E-5</v>
      </c>
      <c r="W258">
        <v>6.1299999999999999E-5</v>
      </c>
      <c r="X258" s="1">
        <v>0.06</v>
      </c>
      <c r="Y258" s="1">
        <v>-0.1201</v>
      </c>
      <c r="Z258" s="1">
        <f t="shared" si="82"/>
        <v>2.0016666666666669</v>
      </c>
      <c r="AB258" t="s">
        <v>9</v>
      </c>
      <c r="AC258">
        <v>0.8</v>
      </c>
      <c r="AD258">
        <v>0.2</v>
      </c>
      <c r="AE258">
        <v>5.4700000000000001E-5</v>
      </c>
      <c r="AF258">
        <v>6.4800000000000003E-5</v>
      </c>
      <c r="AG258" s="1">
        <v>0.06</v>
      </c>
      <c r="AH258" s="1">
        <v>-0.1837</v>
      </c>
      <c r="AI258" s="1">
        <f t="shared" si="85"/>
        <v>3.061666666666667</v>
      </c>
      <c r="AK258" t="s">
        <v>9</v>
      </c>
      <c r="AL258">
        <v>0.8</v>
      </c>
      <c r="AM258">
        <v>0.2</v>
      </c>
      <c r="AN258">
        <v>5.4700000000000001E-5</v>
      </c>
      <c r="AO258">
        <v>6.0699999999999998E-5</v>
      </c>
      <c r="AP258" s="1">
        <v>0.06</v>
      </c>
      <c r="AQ258" s="1">
        <v>-0.1095</v>
      </c>
      <c r="AT258" s="12">
        <f t="shared" si="83"/>
        <v>4.4379594077686053E-2</v>
      </c>
      <c r="AU258" s="7">
        <f t="shared" si="86"/>
        <v>-0.10932358318098732</v>
      </c>
    </row>
    <row r="259" spans="1:54" x14ac:dyDescent="0.35">
      <c r="A259" s="17" t="s">
        <v>9</v>
      </c>
      <c r="B259">
        <v>4</v>
      </c>
      <c r="C259">
        <v>0.2</v>
      </c>
      <c r="D259">
        <v>6.2399999999999998E-7</v>
      </c>
      <c r="E259">
        <v>7.9999999999999996E-7</v>
      </c>
      <c r="F259" s="1">
        <v>0.35499999999999998</v>
      </c>
      <c r="G259" s="1">
        <v>-0.28210000000000002</v>
      </c>
      <c r="H259" s="1">
        <f t="shared" si="84"/>
        <v>0.79464788732394376</v>
      </c>
      <c r="J259" t="s">
        <v>9</v>
      </c>
      <c r="K259">
        <v>4</v>
      </c>
      <c r="L259">
        <v>0.2</v>
      </c>
      <c r="M259">
        <v>6.2399999999999998E-7</v>
      </c>
      <c r="N259">
        <v>9.4E-7</v>
      </c>
      <c r="O259" s="1">
        <v>0.35499999999999998</v>
      </c>
      <c r="P259" s="1">
        <v>-0.50639999999999996</v>
      </c>
      <c r="Q259" s="1">
        <f t="shared" si="81"/>
        <v>1.4264788732394367</v>
      </c>
      <c r="S259" t="s">
        <v>9</v>
      </c>
      <c r="T259">
        <v>4</v>
      </c>
      <c r="U259">
        <v>0.2</v>
      </c>
      <c r="V259">
        <v>6.2399999999999998E-7</v>
      </c>
      <c r="W259">
        <v>1.0899999999999999E-6</v>
      </c>
      <c r="X259" s="1">
        <v>0.35499999999999998</v>
      </c>
      <c r="Y259" s="1">
        <v>-0.74680000000000002</v>
      </c>
      <c r="Z259" s="1">
        <f t="shared" si="82"/>
        <v>2.1036619718309861</v>
      </c>
      <c r="AB259" t="s">
        <v>9</v>
      </c>
      <c r="AC259">
        <v>4</v>
      </c>
      <c r="AD259">
        <v>0.2</v>
      </c>
      <c r="AE259">
        <v>6.2399999999999998E-7</v>
      </c>
      <c r="AF259">
        <v>9.4E-7</v>
      </c>
      <c r="AG259" s="1">
        <v>0.35499999999999998</v>
      </c>
      <c r="AH259" s="1">
        <v>-0.50639999999999996</v>
      </c>
      <c r="AI259" s="1">
        <f t="shared" si="85"/>
        <v>1.4264788732394367</v>
      </c>
      <c r="AK259" t="s">
        <v>9</v>
      </c>
      <c r="AL259">
        <v>4</v>
      </c>
      <c r="AM259">
        <v>0.2</v>
      </c>
      <c r="AN259">
        <v>6.2399999999999998E-7</v>
      </c>
      <c r="AO259">
        <v>7.1999999999999999E-7</v>
      </c>
      <c r="AP259" s="1">
        <v>0.35499999999999998</v>
      </c>
      <c r="AQ259" s="1">
        <v>-0.15379999999999999</v>
      </c>
      <c r="AT259" s="12">
        <f t="shared" si="83"/>
        <v>0.15912980559373055</v>
      </c>
      <c r="AU259" s="7">
        <f t="shared" si="86"/>
        <v>-0.43910256410256404</v>
      </c>
    </row>
    <row r="260" spans="1:54" x14ac:dyDescent="0.35">
      <c r="A260" s="17" t="s">
        <v>9</v>
      </c>
      <c r="B260">
        <v>8</v>
      </c>
      <c r="C260">
        <v>0.2</v>
      </c>
      <c r="D260">
        <v>4.0199999999999998E-9</v>
      </c>
      <c r="E260">
        <v>0</v>
      </c>
      <c r="F260" s="1">
        <v>0.248</v>
      </c>
      <c r="G260" s="1">
        <v>1</v>
      </c>
      <c r="H260" s="1">
        <f t="shared" si="84"/>
        <v>4.032258064516129</v>
      </c>
      <c r="J260" t="s">
        <v>9</v>
      </c>
      <c r="K260">
        <v>8</v>
      </c>
      <c r="L260">
        <v>0.2</v>
      </c>
      <c r="M260">
        <v>4.0199999999999998E-9</v>
      </c>
      <c r="N260">
        <v>0</v>
      </c>
      <c r="O260" s="1">
        <v>0.248</v>
      </c>
      <c r="P260" s="1">
        <v>1</v>
      </c>
      <c r="Q260" s="1">
        <f t="shared" si="81"/>
        <v>4.032258064516129</v>
      </c>
      <c r="S260" t="s">
        <v>9</v>
      </c>
      <c r="T260">
        <v>8</v>
      </c>
      <c r="U260">
        <v>0.2</v>
      </c>
      <c r="V260">
        <v>4.0199999999999998E-9</v>
      </c>
      <c r="W260">
        <v>0</v>
      </c>
      <c r="X260" s="1">
        <v>0.248</v>
      </c>
      <c r="Y260" s="1">
        <v>1</v>
      </c>
      <c r="Z260" s="1">
        <f t="shared" si="82"/>
        <v>4.032258064516129</v>
      </c>
      <c r="AB260" t="s">
        <v>9</v>
      </c>
      <c r="AC260">
        <v>8</v>
      </c>
      <c r="AD260">
        <v>0.2</v>
      </c>
      <c r="AE260">
        <v>4.0199999999999998E-9</v>
      </c>
      <c r="AF260">
        <v>7.0000000000000005E-8</v>
      </c>
      <c r="AG260" s="1">
        <v>0.248</v>
      </c>
      <c r="AH260" s="1">
        <v>-16.4129</v>
      </c>
      <c r="AI260" s="1">
        <f t="shared" si="85"/>
        <v>66.18104838709678</v>
      </c>
      <c r="AK260" t="s">
        <v>9</v>
      </c>
      <c r="AL260">
        <v>8</v>
      </c>
      <c r="AM260">
        <v>0.2</v>
      </c>
      <c r="AN260">
        <v>4.0199999999999998E-9</v>
      </c>
      <c r="AO260">
        <v>0</v>
      </c>
      <c r="AP260" s="1">
        <v>0.248</v>
      </c>
      <c r="AQ260" s="1">
        <v>1</v>
      </c>
      <c r="AT260" s="12">
        <f t="shared" si="83"/>
        <v>2.2360679774997894</v>
      </c>
      <c r="AU260" s="7">
        <f t="shared" si="86"/>
        <v>-2.4825870646766171</v>
      </c>
    </row>
    <row r="261" spans="1:54" x14ac:dyDescent="0.35">
      <c r="A261" s="17" t="s">
        <v>7</v>
      </c>
      <c r="B261">
        <v>0.1</v>
      </c>
      <c r="C261">
        <v>0.9</v>
      </c>
      <c r="D261">
        <v>0.41299999999999998</v>
      </c>
      <c r="E261">
        <v>0.41399999999999998</v>
      </c>
      <c r="F261" s="1">
        <v>1E-3</v>
      </c>
      <c r="G261" s="1">
        <v>-1.5E-3</v>
      </c>
      <c r="H261" s="1">
        <f t="shared" si="84"/>
        <v>1.5</v>
      </c>
      <c r="J261" t="s">
        <v>7</v>
      </c>
      <c r="K261">
        <v>0.1</v>
      </c>
      <c r="L261">
        <v>0.9</v>
      </c>
      <c r="M261">
        <v>0.41299999999999998</v>
      </c>
      <c r="N261">
        <v>0.41399999999999998</v>
      </c>
      <c r="O261" s="1">
        <v>1E-3</v>
      </c>
      <c r="P261" s="1">
        <v>-1.2999999999999999E-3</v>
      </c>
      <c r="Q261" s="1">
        <f t="shared" si="81"/>
        <v>1.2999999999999998</v>
      </c>
      <c r="S261" t="s">
        <v>7</v>
      </c>
      <c r="T261">
        <v>0.1</v>
      </c>
      <c r="U261">
        <v>0.9</v>
      </c>
      <c r="V261">
        <v>0.41299999999999998</v>
      </c>
      <c r="W261">
        <v>0.41399999999999998</v>
      </c>
      <c r="X261" s="1">
        <v>1E-3</v>
      </c>
      <c r="Y261" s="1">
        <v>-1.5E-3</v>
      </c>
      <c r="Z261" s="1">
        <f t="shared" si="82"/>
        <v>1.5</v>
      </c>
      <c r="AB261" t="s">
        <v>7</v>
      </c>
      <c r="AC261">
        <v>0.1</v>
      </c>
      <c r="AD261">
        <v>0.9</v>
      </c>
      <c r="AE261">
        <v>0.41299999999999998</v>
      </c>
      <c r="AF261">
        <v>0.41399999999999998</v>
      </c>
      <c r="AG261" s="1">
        <v>1E-3</v>
      </c>
      <c r="AH261" s="1">
        <v>-1.5E-3</v>
      </c>
      <c r="AI261" s="1">
        <f t="shared" si="85"/>
        <v>1.5</v>
      </c>
      <c r="AK261" t="s">
        <v>7</v>
      </c>
      <c r="AL261">
        <v>0.1</v>
      </c>
      <c r="AM261">
        <v>0.9</v>
      </c>
      <c r="AN261">
        <v>0.41299999999999998</v>
      </c>
      <c r="AO261">
        <v>0.41399999999999998</v>
      </c>
      <c r="AP261" s="1">
        <v>1E-3</v>
      </c>
      <c r="AQ261" s="1">
        <v>-1.4E-3</v>
      </c>
      <c r="AT261" s="13">
        <f t="shared" si="83"/>
        <v>0</v>
      </c>
      <c r="AU261" s="8">
        <f t="shared" si="86"/>
        <v>-2.421307506053271E-3</v>
      </c>
    </row>
    <row r="262" spans="1:54" x14ac:dyDescent="0.35">
      <c r="A262" s="17" t="s">
        <v>7</v>
      </c>
      <c r="B262">
        <v>0.5</v>
      </c>
      <c r="C262">
        <v>0.9</v>
      </c>
      <c r="D262">
        <v>0.187</v>
      </c>
      <c r="E262">
        <v>0.184</v>
      </c>
      <c r="F262" s="1">
        <v>5.0000000000000001E-3</v>
      </c>
      <c r="G262" s="1">
        <v>1.66E-2</v>
      </c>
      <c r="H262" s="1">
        <f t="shared" si="84"/>
        <v>3.32</v>
      </c>
      <c r="J262" t="s">
        <v>7</v>
      </c>
      <c r="K262">
        <v>0.5</v>
      </c>
      <c r="L262">
        <v>0.9</v>
      </c>
      <c r="M262">
        <v>0.187</v>
      </c>
      <c r="N262">
        <v>0.184</v>
      </c>
      <c r="O262" s="1">
        <v>5.0000000000000001E-3</v>
      </c>
      <c r="P262" s="1">
        <v>1.6500000000000001E-2</v>
      </c>
      <c r="Q262" s="1">
        <f t="shared" si="81"/>
        <v>3.3000000000000003</v>
      </c>
      <c r="S262" t="s">
        <v>7</v>
      </c>
      <c r="T262">
        <v>0.5</v>
      </c>
      <c r="U262">
        <v>0.9</v>
      </c>
      <c r="V262">
        <v>0.187</v>
      </c>
      <c r="W262">
        <v>0.184</v>
      </c>
      <c r="X262" s="1">
        <v>5.0000000000000001E-3</v>
      </c>
      <c r="Y262" s="1">
        <v>1.6400000000000001E-2</v>
      </c>
      <c r="Z262" s="1">
        <f t="shared" si="82"/>
        <v>3.2800000000000002</v>
      </c>
      <c r="AB262" t="s">
        <v>7</v>
      </c>
      <c r="AC262">
        <v>0.5</v>
      </c>
      <c r="AD262">
        <v>0.9</v>
      </c>
      <c r="AE262">
        <v>0.187</v>
      </c>
      <c r="AF262">
        <v>0.184</v>
      </c>
      <c r="AG262" s="1">
        <v>5.0000000000000001E-3</v>
      </c>
      <c r="AH262" s="1">
        <v>1.66E-2</v>
      </c>
      <c r="AI262" s="1">
        <f t="shared" si="85"/>
        <v>3.32</v>
      </c>
      <c r="AK262" t="s">
        <v>7</v>
      </c>
      <c r="AL262">
        <v>0.5</v>
      </c>
      <c r="AM262">
        <v>0.9</v>
      </c>
      <c r="AN262">
        <v>0.187</v>
      </c>
      <c r="AO262">
        <v>0.184</v>
      </c>
      <c r="AP262" s="1">
        <v>5.0000000000000001E-3</v>
      </c>
      <c r="AQ262" s="1">
        <v>1.66E-2</v>
      </c>
      <c r="AT262" s="13">
        <f t="shared" si="83"/>
        <v>0</v>
      </c>
      <c r="AU262" s="8">
        <f t="shared" si="86"/>
        <v>1.6042780748663117E-2</v>
      </c>
    </row>
    <row r="263" spans="1:54" x14ac:dyDescent="0.35">
      <c r="A263" s="17" t="s">
        <v>7</v>
      </c>
      <c r="B263">
        <v>1</v>
      </c>
      <c r="C263">
        <v>0.9</v>
      </c>
      <c r="D263">
        <v>6.8500000000000005E-2</v>
      </c>
      <c r="E263">
        <v>6.6199999999999995E-2</v>
      </c>
      <c r="F263" s="1">
        <v>0.01</v>
      </c>
      <c r="G263" s="1">
        <v>3.3700000000000001E-2</v>
      </c>
      <c r="H263" s="1">
        <f t="shared" si="84"/>
        <v>3.37</v>
      </c>
      <c r="J263" t="s">
        <v>7</v>
      </c>
      <c r="K263">
        <v>1</v>
      </c>
      <c r="L263">
        <v>0.9</v>
      </c>
      <c r="M263">
        <v>6.8500000000000005E-2</v>
      </c>
      <c r="N263">
        <v>6.6199999999999995E-2</v>
      </c>
      <c r="O263" s="1">
        <v>0.01</v>
      </c>
      <c r="P263" s="1">
        <v>3.3700000000000001E-2</v>
      </c>
      <c r="Q263" s="1">
        <f t="shared" si="81"/>
        <v>3.37</v>
      </c>
      <c r="S263" t="s">
        <v>7</v>
      </c>
      <c r="T263">
        <v>1</v>
      </c>
      <c r="U263">
        <v>0.9</v>
      </c>
      <c r="V263">
        <v>6.8500000000000005E-2</v>
      </c>
      <c r="W263">
        <v>6.6100000000000006E-2</v>
      </c>
      <c r="X263" s="1">
        <v>0.01</v>
      </c>
      <c r="Y263" s="1">
        <v>3.4599999999999999E-2</v>
      </c>
      <c r="Z263" s="1">
        <f t="shared" si="82"/>
        <v>3.46</v>
      </c>
      <c r="AB263" t="s">
        <v>7</v>
      </c>
      <c r="AC263">
        <v>1</v>
      </c>
      <c r="AD263">
        <v>0.9</v>
      </c>
      <c r="AE263">
        <v>6.8500000000000005E-2</v>
      </c>
      <c r="AF263">
        <v>6.6199999999999995E-2</v>
      </c>
      <c r="AG263" s="1">
        <v>0.01</v>
      </c>
      <c r="AH263" s="1">
        <v>3.3700000000000001E-2</v>
      </c>
      <c r="AI263" s="1">
        <f t="shared" si="85"/>
        <v>3.37</v>
      </c>
      <c r="AK263" t="s">
        <v>7</v>
      </c>
      <c r="AL263">
        <v>1</v>
      </c>
      <c r="AM263">
        <v>0.9</v>
      </c>
      <c r="AN263">
        <v>6.8500000000000005E-2</v>
      </c>
      <c r="AO263">
        <v>6.6199999999999995E-2</v>
      </c>
      <c r="AP263" s="1">
        <v>0.01</v>
      </c>
      <c r="AQ263" s="1">
        <v>3.3799999999999997E-2</v>
      </c>
      <c r="AT263" s="13">
        <f t="shared" si="83"/>
        <v>6.7575339301890113E-4</v>
      </c>
      <c r="AU263" s="8">
        <f t="shared" si="86"/>
        <v>3.3868613138686367E-2</v>
      </c>
    </row>
    <row r="264" spans="1:54" x14ac:dyDescent="0.35">
      <c r="A264" s="17" t="s">
        <v>8</v>
      </c>
      <c r="B264">
        <v>0.1</v>
      </c>
      <c r="C264">
        <v>0.9</v>
      </c>
      <c r="D264">
        <v>9.3100000000000002E-2</v>
      </c>
      <c r="E264">
        <v>9.8100000000000007E-2</v>
      </c>
      <c r="F264" s="1">
        <v>2.1000000000000001E-2</v>
      </c>
      <c r="G264" s="1">
        <v>-5.4199999999999998E-2</v>
      </c>
      <c r="H264" s="1">
        <f t="shared" si="84"/>
        <v>2.5809523809523807</v>
      </c>
      <c r="J264" t="s">
        <v>8</v>
      </c>
      <c r="K264">
        <v>0.1</v>
      </c>
      <c r="L264">
        <v>0.9</v>
      </c>
      <c r="M264">
        <v>9.3100000000000002E-2</v>
      </c>
      <c r="N264">
        <v>9.8199999999999996E-2</v>
      </c>
      <c r="O264" s="1">
        <v>2.1000000000000001E-2</v>
      </c>
      <c r="P264" s="1">
        <v>-5.45E-2</v>
      </c>
      <c r="Q264" s="1">
        <f t="shared" si="81"/>
        <v>2.5952380952380949</v>
      </c>
      <c r="S264" t="s">
        <v>8</v>
      </c>
      <c r="T264">
        <v>0.1</v>
      </c>
      <c r="U264">
        <v>0.9</v>
      </c>
      <c r="V264">
        <v>9.3100000000000002E-2</v>
      </c>
      <c r="W264">
        <v>9.8199999999999996E-2</v>
      </c>
      <c r="X264" s="1">
        <v>2.1000000000000001E-2</v>
      </c>
      <c r="Y264" s="1">
        <v>-5.4300000000000001E-2</v>
      </c>
      <c r="Z264" s="1">
        <f t="shared" si="82"/>
        <v>2.5857142857142854</v>
      </c>
      <c r="AB264" t="s">
        <v>8</v>
      </c>
      <c r="AC264">
        <v>0.1</v>
      </c>
      <c r="AD264">
        <v>0.9</v>
      </c>
      <c r="AE264">
        <v>9.3100000000000002E-2</v>
      </c>
      <c r="AF264">
        <v>9.8199999999999996E-2</v>
      </c>
      <c r="AG264" s="1">
        <v>2.1000000000000001E-2</v>
      </c>
      <c r="AH264" s="1">
        <v>-5.5100000000000003E-2</v>
      </c>
      <c r="AI264" s="1">
        <f t="shared" si="85"/>
        <v>2.6238095238095238</v>
      </c>
      <c r="AK264" t="s">
        <v>8</v>
      </c>
      <c r="AL264">
        <v>0.1</v>
      </c>
      <c r="AM264">
        <v>0.9</v>
      </c>
      <c r="AN264">
        <v>9.3100000000000002E-2</v>
      </c>
      <c r="AO264">
        <v>9.8299999999999998E-2</v>
      </c>
      <c r="AP264" s="1">
        <v>2.1000000000000001E-2</v>
      </c>
      <c r="AQ264" s="1">
        <v>-5.57E-2</v>
      </c>
      <c r="AT264" s="14">
        <f t="shared" si="83"/>
        <v>7.2006800528158716E-4</v>
      </c>
      <c r="AU264" s="9">
        <f t="shared" si="86"/>
        <v>-5.4779806659505985E-2</v>
      </c>
    </row>
    <row r="265" spans="1:54" x14ac:dyDescent="0.35">
      <c r="A265" s="17" t="s">
        <v>8</v>
      </c>
      <c r="B265">
        <v>0.5</v>
      </c>
      <c r="C265">
        <v>0.9</v>
      </c>
      <c r="D265">
        <v>4.6300000000000001E-2</v>
      </c>
      <c r="E265">
        <v>4.7600000000000003E-2</v>
      </c>
      <c r="F265" s="1">
        <v>1.7000000000000001E-2</v>
      </c>
      <c r="G265" s="1">
        <v>-2.7300000000000001E-2</v>
      </c>
      <c r="H265" s="1">
        <f t="shared" si="84"/>
        <v>1.6058823529411765</v>
      </c>
      <c r="J265" t="s">
        <v>8</v>
      </c>
      <c r="K265">
        <v>0.5</v>
      </c>
      <c r="L265">
        <v>0.9</v>
      </c>
      <c r="M265">
        <v>4.6300000000000001E-2</v>
      </c>
      <c r="N265">
        <v>4.7500000000000001E-2</v>
      </c>
      <c r="O265" s="1">
        <v>1.7000000000000001E-2</v>
      </c>
      <c r="P265" s="1">
        <v>-2.6200000000000001E-2</v>
      </c>
      <c r="Q265" s="1">
        <f t="shared" si="81"/>
        <v>1.5411764705882351</v>
      </c>
      <c r="S265" t="s">
        <v>8</v>
      </c>
      <c r="T265">
        <v>0.5</v>
      </c>
      <c r="U265">
        <v>0.9</v>
      </c>
      <c r="V265">
        <v>4.6300000000000001E-2</v>
      </c>
      <c r="W265">
        <v>4.7600000000000003E-2</v>
      </c>
      <c r="X265" s="1">
        <v>1.7000000000000001E-2</v>
      </c>
      <c r="Y265" s="1">
        <v>-2.7699999999999999E-2</v>
      </c>
      <c r="Z265" s="1">
        <f t="shared" si="82"/>
        <v>1.6294117647058821</v>
      </c>
      <c r="AB265" t="s">
        <v>8</v>
      </c>
      <c r="AC265">
        <v>0.5</v>
      </c>
      <c r="AD265">
        <v>0.9</v>
      </c>
      <c r="AE265">
        <v>4.6300000000000001E-2</v>
      </c>
      <c r="AF265">
        <v>4.7600000000000003E-2</v>
      </c>
      <c r="AG265" s="1">
        <v>1.7000000000000001E-2</v>
      </c>
      <c r="AH265" s="1">
        <v>-2.75E-2</v>
      </c>
      <c r="AI265" s="1">
        <f t="shared" si="85"/>
        <v>1.6176470588235292</v>
      </c>
      <c r="AK265" t="s">
        <v>8</v>
      </c>
      <c r="AL265">
        <v>0.5</v>
      </c>
      <c r="AM265">
        <v>0.9</v>
      </c>
      <c r="AN265">
        <v>4.6300000000000001E-2</v>
      </c>
      <c r="AO265">
        <v>4.7600000000000003E-2</v>
      </c>
      <c r="AP265" s="1">
        <v>1.7000000000000001E-2</v>
      </c>
      <c r="AQ265" s="1">
        <v>-2.76E-2</v>
      </c>
      <c r="AT265" s="14">
        <f t="shared" si="83"/>
        <v>9.3991928436311617E-4</v>
      </c>
      <c r="AU265" s="9">
        <f t="shared" si="86"/>
        <v>-2.7645788336933118E-2</v>
      </c>
    </row>
    <row r="266" spans="1:54" x14ac:dyDescent="0.35">
      <c r="A266" s="17" t="s">
        <v>8</v>
      </c>
      <c r="B266">
        <v>1</v>
      </c>
      <c r="C266">
        <v>0.9</v>
      </c>
      <c r="D266">
        <v>1.6500000000000001E-2</v>
      </c>
      <c r="E266">
        <v>1.66E-2</v>
      </c>
      <c r="F266" s="1">
        <v>1.4E-2</v>
      </c>
      <c r="G266" s="1">
        <v>-4.0000000000000001E-3</v>
      </c>
      <c r="H266" s="1">
        <f t="shared" si="84"/>
        <v>0.2857142857142857</v>
      </c>
      <c r="J266" t="s">
        <v>8</v>
      </c>
      <c r="K266">
        <v>1</v>
      </c>
      <c r="L266">
        <v>0.9</v>
      </c>
      <c r="M266">
        <v>1.6500000000000001E-2</v>
      </c>
      <c r="N266">
        <v>1.6500000000000001E-2</v>
      </c>
      <c r="O266" s="1">
        <v>1.4E-2</v>
      </c>
      <c r="P266" s="1">
        <v>2E-3</v>
      </c>
      <c r="Q266" s="1">
        <f t="shared" si="81"/>
        <v>0.14285714285714285</v>
      </c>
      <c r="S266" t="s">
        <v>8</v>
      </c>
      <c r="T266">
        <v>1</v>
      </c>
      <c r="U266">
        <v>0.9</v>
      </c>
      <c r="V266">
        <v>1.6500000000000001E-2</v>
      </c>
      <c r="W266">
        <v>1.6500000000000001E-2</v>
      </c>
      <c r="X266" s="1">
        <v>1.4E-2</v>
      </c>
      <c r="Y266" s="1">
        <v>-2E-3</v>
      </c>
      <c r="Z266" s="1">
        <f t="shared" si="82"/>
        <v>0.14285714285714285</v>
      </c>
      <c r="AB266" t="s">
        <v>8</v>
      </c>
      <c r="AC266">
        <v>1</v>
      </c>
      <c r="AD266">
        <v>0.9</v>
      </c>
      <c r="AE266">
        <v>1.6500000000000001E-2</v>
      </c>
      <c r="AF266">
        <v>1.66E-2</v>
      </c>
      <c r="AG266" s="1">
        <v>1.4E-2</v>
      </c>
      <c r="AH266" s="1">
        <v>-5.5999999999999999E-3</v>
      </c>
      <c r="AI266" s="1">
        <f t="shared" si="85"/>
        <v>0.39999999999999997</v>
      </c>
      <c r="AK266" t="s">
        <v>8</v>
      </c>
      <c r="AL266">
        <v>1</v>
      </c>
      <c r="AM266">
        <v>0.9</v>
      </c>
      <c r="AN266">
        <v>1.6500000000000001E-2</v>
      </c>
      <c r="AO266">
        <v>1.66E-2</v>
      </c>
      <c r="AP266" s="1">
        <v>1.4E-2</v>
      </c>
      <c r="AQ266" s="1">
        <v>-3.3E-3</v>
      </c>
      <c r="AT266" s="14">
        <f t="shared" si="83"/>
        <v>3.3075033665770697E-3</v>
      </c>
      <c r="AU266" s="9">
        <f t="shared" si="86"/>
        <v>-3.6363636363636984E-3</v>
      </c>
    </row>
    <row r="267" spans="1:54" x14ac:dyDescent="0.35">
      <c r="A267" s="17" t="s">
        <v>9</v>
      </c>
      <c r="B267">
        <v>0.1</v>
      </c>
      <c r="C267">
        <v>0.9</v>
      </c>
      <c r="D267">
        <v>6.9899999999999997E-3</v>
      </c>
      <c r="E267">
        <v>7.5100000000000002E-3</v>
      </c>
      <c r="F267" s="1">
        <v>6.3E-2</v>
      </c>
      <c r="G267" s="1">
        <v>-7.3700000000000002E-2</v>
      </c>
      <c r="H267" s="1">
        <f t="shared" si="84"/>
        <v>1.1698412698412699</v>
      </c>
      <c r="J267" t="s">
        <v>9</v>
      </c>
      <c r="K267">
        <v>0.1</v>
      </c>
      <c r="L267">
        <v>0.9</v>
      </c>
      <c r="M267">
        <v>6.9899999999999997E-3</v>
      </c>
      <c r="N267">
        <v>7.4700000000000001E-3</v>
      </c>
      <c r="O267" s="1">
        <v>6.3E-2</v>
      </c>
      <c r="P267" s="1">
        <v>-6.9199999999999998E-2</v>
      </c>
      <c r="Q267" s="1">
        <f t="shared" si="81"/>
        <v>1.0984126984126983</v>
      </c>
      <c r="S267" t="s">
        <v>9</v>
      </c>
      <c r="T267">
        <v>0.1</v>
      </c>
      <c r="U267">
        <v>0.9</v>
      </c>
      <c r="V267">
        <v>6.9899999999999997E-3</v>
      </c>
      <c r="W267">
        <v>7.4999999999999997E-3</v>
      </c>
      <c r="X267" s="1">
        <v>6.3E-2</v>
      </c>
      <c r="Y267" s="1">
        <v>-7.3499999999999996E-2</v>
      </c>
      <c r="Z267" s="1">
        <f t="shared" si="82"/>
        <v>1.1666666666666665</v>
      </c>
      <c r="AB267" t="s">
        <v>9</v>
      </c>
      <c r="AC267">
        <v>0.1</v>
      </c>
      <c r="AD267">
        <v>0.9</v>
      </c>
      <c r="AE267">
        <v>6.9899999999999997E-3</v>
      </c>
      <c r="AF267">
        <v>7.5199999999999998E-3</v>
      </c>
      <c r="AG267" s="1">
        <v>6.3E-2</v>
      </c>
      <c r="AH267" s="1">
        <v>-7.5300000000000006E-2</v>
      </c>
      <c r="AI267" s="1">
        <f t="shared" si="85"/>
        <v>1.1952380952380954</v>
      </c>
      <c r="AK267" t="s">
        <v>9</v>
      </c>
      <c r="AL267">
        <v>0.1</v>
      </c>
      <c r="AM267">
        <v>0.9</v>
      </c>
      <c r="AN267">
        <v>6.9899999999999997E-3</v>
      </c>
      <c r="AO267">
        <v>7.4799999999999997E-3</v>
      </c>
      <c r="AP267" s="1">
        <v>6.3E-2</v>
      </c>
      <c r="AQ267" s="1">
        <v>-7.0300000000000001E-2</v>
      </c>
      <c r="AT267" s="12">
        <f t="shared" si="83"/>
        <v>2.7663342253638886E-3</v>
      </c>
      <c r="AU267" s="7">
        <f t="shared" si="86"/>
        <v>-7.2389127324749697E-2</v>
      </c>
    </row>
    <row r="268" spans="1:54" x14ac:dyDescent="0.35">
      <c r="A268" s="17" t="s">
        <v>9</v>
      </c>
      <c r="B268">
        <v>0.5</v>
      </c>
      <c r="C268">
        <v>0.9</v>
      </c>
      <c r="D268">
        <v>3.29E-3</v>
      </c>
      <c r="E268">
        <v>3.3700000000000002E-3</v>
      </c>
      <c r="F268" s="1">
        <v>5.5E-2</v>
      </c>
      <c r="G268" s="1">
        <v>-2.3300000000000001E-2</v>
      </c>
      <c r="H268" s="1">
        <f t="shared" si="84"/>
        <v>0.42363636363636364</v>
      </c>
      <c r="J268" t="s">
        <v>9</v>
      </c>
      <c r="K268">
        <v>0.5</v>
      </c>
      <c r="L268">
        <v>0.9</v>
      </c>
      <c r="M268">
        <v>3.29E-3</v>
      </c>
      <c r="N268">
        <v>3.3400000000000001E-3</v>
      </c>
      <c r="O268" s="1">
        <v>5.5E-2</v>
      </c>
      <c r="P268" s="1">
        <v>-1.55E-2</v>
      </c>
      <c r="Q268" s="1">
        <f t="shared" si="81"/>
        <v>0.2818181818181818</v>
      </c>
      <c r="S268" t="s">
        <v>9</v>
      </c>
      <c r="T268">
        <v>0.5</v>
      </c>
      <c r="U268">
        <v>0.9</v>
      </c>
      <c r="V268">
        <v>3.29E-3</v>
      </c>
      <c r="W268">
        <v>3.3800000000000002E-3</v>
      </c>
      <c r="X268" s="1">
        <v>5.5E-2</v>
      </c>
      <c r="Y268" s="1">
        <v>-2.6100000000000002E-2</v>
      </c>
      <c r="Z268" s="1">
        <f t="shared" si="82"/>
        <v>0.47454545454545455</v>
      </c>
      <c r="AB268" t="s">
        <v>9</v>
      </c>
      <c r="AC268">
        <v>0.5</v>
      </c>
      <c r="AD268">
        <v>0.9</v>
      </c>
      <c r="AE268">
        <v>3.29E-3</v>
      </c>
      <c r="AF268">
        <v>3.4199999999999999E-3</v>
      </c>
      <c r="AG268" s="1">
        <v>5.5E-2</v>
      </c>
      <c r="AH268" s="1">
        <v>-3.8699999999999998E-2</v>
      </c>
      <c r="AI268" s="1">
        <f t="shared" si="85"/>
        <v>0.70363636363636362</v>
      </c>
      <c r="AK268" t="s">
        <v>9</v>
      </c>
      <c r="AL268">
        <v>0.5</v>
      </c>
      <c r="AM268">
        <v>0.9</v>
      </c>
      <c r="AN268">
        <v>3.29E-3</v>
      </c>
      <c r="AO268">
        <v>3.3600000000000001E-3</v>
      </c>
      <c r="AP268" s="1">
        <v>5.5E-2</v>
      </c>
      <c r="AQ268" s="1">
        <v>-2.2200000000000001E-2</v>
      </c>
      <c r="AT268" s="12">
        <f t="shared" si="83"/>
        <v>8.7921736657921058E-3</v>
      </c>
      <c r="AU268" s="7">
        <f t="shared" si="86"/>
        <v>-2.5531914893616982E-2</v>
      </c>
    </row>
    <row r="269" spans="1:54" x14ac:dyDescent="0.35">
      <c r="A269" s="17" t="s">
        <v>9</v>
      </c>
      <c r="B269">
        <v>1</v>
      </c>
      <c r="C269">
        <v>0.9</v>
      </c>
      <c r="D269">
        <v>1.2099999999999999E-3</v>
      </c>
      <c r="E269">
        <v>1.1999999999999999E-3</v>
      </c>
      <c r="F269" s="1">
        <v>0.109</v>
      </c>
      <c r="G269" s="1">
        <v>5.5999999999999999E-3</v>
      </c>
      <c r="H269" s="1">
        <f t="shared" si="84"/>
        <v>5.1376146788990829E-2</v>
      </c>
      <c r="J269" t="s">
        <v>9</v>
      </c>
      <c r="K269">
        <v>1</v>
      </c>
      <c r="L269">
        <v>0.9</v>
      </c>
      <c r="M269">
        <v>1.2099999999999999E-3</v>
      </c>
      <c r="N269">
        <v>1.1999999999999999E-3</v>
      </c>
      <c r="O269" s="1">
        <v>0.109</v>
      </c>
      <c r="P269" s="1">
        <v>8.9999999999999993E-3</v>
      </c>
      <c r="Q269" s="1">
        <f t="shared" si="81"/>
        <v>8.2568807339449532E-2</v>
      </c>
      <c r="S269" t="s">
        <v>9</v>
      </c>
      <c r="T269">
        <v>1</v>
      </c>
      <c r="U269">
        <v>0.9</v>
      </c>
      <c r="V269">
        <v>1.2099999999999999E-3</v>
      </c>
      <c r="W269">
        <v>1.1999999999999999E-3</v>
      </c>
      <c r="X269" s="1">
        <v>0.109</v>
      </c>
      <c r="Y269" s="1">
        <v>4.4000000000000003E-3</v>
      </c>
      <c r="Z269" s="1">
        <f t="shared" si="82"/>
        <v>4.0366972477064222E-2</v>
      </c>
      <c r="AB269" t="s">
        <v>9</v>
      </c>
      <c r="AC269">
        <v>1</v>
      </c>
      <c r="AD269">
        <v>0.9</v>
      </c>
      <c r="AE269">
        <v>1.2099999999999999E-3</v>
      </c>
      <c r="AF269">
        <v>1.1900000000000001E-3</v>
      </c>
      <c r="AG269" s="1">
        <v>0.109</v>
      </c>
      <c r="AH269" s="1">
        <v>1.37E-2</v>
      </c>
      <c r="AI269" s="1">
        <f t="shared" si="85"/>
        <v>0.12568807339449542</v>
      </c>
      <c r="AK269" t="s">
        <v>9</v>
      </c>
      <c r="AL269">
        <v>1</v>
      </c>
      <c r="AM269">
        <v>0.9</v>
      </c>
      <c r="AN269">
        <v>1.2099999999999999E-3</v>
      </c>
      <c r="AO269">
        <v>1.1900000000000001E-3</v>
      </c>
      <c r="AP269" s="1">
        <v>0.109</v>
      </c>
      <c r="AQ269" s="1">
        <v>1.6899999999999998E-2</v>
      </c>
      <c r="AT269" s="12">
        <f>STDEV(AO269,AF269,W269,N269,E269)/ AVERAGE(AO269,AF269,W269,N269,E269)</f>
        <v>4.5796200460297299E-3</v>
      </c>
      <c r="AU269" s="7">
        <f t="shared" si="86"/>
        <v>1.1570247933884401E-2</v>
      </c>
    </row>
    <row r="271" spans="1:54" x14ac:dyDescent="0.35">
      <c r="A271" s="6" t="s">
        <v>23</v>
      </c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AN271" s="6" t="s">
        <v>23</v>
      </c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</row>
    <row r="272" spans="1:54" x14ac:dyDescent="0.35">
      <c r="A272" s="17" t="s">
        <v>0</v>
      </c>
      <c r="B272" t="s">
        <v>1</v>
      </c>
      <c r="C272" t="s">
        <v>2</v>
      </c>
      <c r="D272" t="s">
        <v>3</v>
      </c>
      <c r="E272" t="s">
        <v>4</v>
      </c>
      <c r="F272" t="s">
        <v>5</v>
      </c>
      <c r="G272" t="s">
        <v>6</v>
      </c>
      <c r="J272" t="s">
        <v>0</v>
      </c>
      <c r="K272" t="s">
        <v>1</v>
      </c>
      <c r="L272" t="s">
        <v>2</v>
      </c>
      <c r="M272" t="s">
        <v>3</v>
      </c>
      <c r="N272" t="s">
        <v>4</v>
      </c>
      <c r="O272" t="s">
        <v>5</v>
      </c>
      <c r="P272" t="s">
        <v>6</v>
      </c>
      <c r="S272" t="s">
        <v>0</v>
      </c>
      <c r="T272" t="s">
        <v>1</v>
      </c>
      <c r="U272" t="s">
        <v>2</v>
      </c>
      <c r="V272" t="s">
        <v>3</v>
      </c>
      <c r="W272" t="s">
        <v>4</v>
      </c>
      <c r="X272" t="s">
        <v>5</v>
      </c>
      <c r="Y272" t="s">
        <v>6</v>
      </c>
      <c r="AB272" t="s">
        <v>0</v>
      </c>
      <c r="AC272" t="s">
        <v>1</v>
      </c>
      <c r="AD272" t="s">
        <v>2</v>
      </c>
      <c r="AE272" t="s">
        <v>3</v>
      </c>
      <c r="AF272" t="s">
        <v>4</v>
      </c>
      <c r="AG272" t="s">
        <v>5</v>
      </c>
      <c r="AH272" t="s">
        <v>6</v>
      </c>
      <c r="AK272" t="s">
        <v>0</v>
      </c>
      <c r="AL272" t="s">
        <v>1</v>
      </c>
      <c r="AM272" t="s">
        <v>2</v>
      </c>
      <c r="AN272" t="s">
        <v>3</v>
      </c>
      <c r="AO272" t="s">
        <v>4</v>
      </c>
      <c r="AP272" t="s">
        <v>5</v>
      </c>
      <c r="AQ272" t="s">
        <v>6</v>
      </c>
      <c r="AT272" s="15"/>
      <c r="AU272"/>
    </row>
    <row r="273" spans="1:47" x14ac:dyDescent="0.35">
      <c r="A273" s="17" t="s">
        <v>7</v>
      </c>
      <c r="B273">
        <v>0.8</v>
      </c>
      <c r="C273">
        <v>0.2</v>
      </c>
      <c r="D273">
        <v>0.16200000000000001</v>
      </c>
      <c r="E273">
        <v>0.16200000000000001</v>
      </c>
      <c r="F273" s="1">
        <v>0</v>
      </c>
      <c r="G273" s="1">
        <v>8.0000000000000004E-4</v>
      </c>
      <c r="H273" s="1" t="e">
        <f>ABS(G273/F273)</f>
        <v>#DIV/0!</v>
      </c>
      <c r="J273" t="s">
        <v>7</v>
      </c>
      <c r="K273">
        <v>0.8</v>
      </c>
      <c r="L273">
        <v>0.2</v>
      </c>
      <c r="M273">
        <v>0.16200000000000001</v>
      </c>
      <c r="N273">
        <v>0.16200000000000001</v>
      </c>
      <c r="O273" s="1">
        <v>0</v>
      </c>
      <c r="P273" s="1">
        <v>8.9999999999999998E-4</v>
      </c>
      <c r="Q273" s="1" t="e">
        <f>ABS(P273/O273)</f>
        <v>#DIV/0!</v>
      </c>
      <c r="S273" t="s">
        <v>7</v>
      </c>
      <c r="T273">
        <v>0.8</v>
      </c>
      <c r="U273">
        <v>0.2</v>
      </c>
      <c r="V273">
        <v>0.16200000000000001</v>
      </c>
      <c r="W273">
        <v>0.16200000000000001</v>
      </c>
      <c r="X273" s="1">
        <v>0</v>
      </c>
      <c r="Y273" s="1">
        <v>4.0000000000000002E-4</v>
      </c>
      <c r="Z273" s="1" t="e">
        <f>ABS(Y273/X273)</f>
        <v>#DIV/0!</v>
      </c>
      <c r="AB273" t="s">
        <v>7</v>
      </c>
      <c r="AC273">
        <v>0.8</v>
      </c>
      <c r="AD273">
        <v>0.2</v>
      </c>
      <c r="AE273">
        <v>0.16200000000000001</v>
      </c>
      <c r="AF273">
        <v>0.16200000000000001</v>
      </c>
      <c r="AG273" s="1">
        <v>0</v>
      </c>
      <c r="AH273" s="1">
        <v>8.0000000000000004E-4</v>
      </c>
      <c r="AI273" s="1" t="e">
        <f>ABS(AH273/AG273)</f>
        <v>#DIV/0!</v>
      </c>
      <c r="AK273" t="s">
        <v>7</v>
      </c>
      <c r="AL273">
        <v>0.8</v>
      </c>
      <c r="AM273">
        <v>0.2</v>
      </c>
      <c r="AN273">
        <v>0.16200000000000001</v>
      </c>
      <c r="AO273">
        <v>0.16200000000000001</v>
      </c>
      <c r="AP273" s="1">
        <v>0</v>
      </c>
      <c r="AQ273" s="1">
        <v>8.9999999999999998E-4</v>
      </c>
      <c r="AR273" s="1" t="e">
        <f>ABS(AQ273/AP273)</f>
        <v>#DIV/0!</v>
      </c>
      <c r="AT273" s="13">
        <f t="shared" ref="AT273:AT289" si="87">STDEV(AO273,AF273,W273,N273,E273)/ AVERAGE(AO273,AF273,W273,N273,E273)</f>
        <v>0</v>
      </c>
      <c r="AU273" s="8">
        <f>( D273 - AVERAGE(AO273,AF273,W273,N273,E273))/ D273</f>
        <v>0</v>
      </c>
    </row>
    <row r="274" spans="1:47" x14ac:dyDescent="0.35">
      <c r="A274" s="17" t="s">
        <v>7</v>
      </c>
      <c r="B274">
        <v>4</v>
      </c>
      <c r="C274">
        <v>0.2</v>
      </c>
      <c r="D274">
        <v>2.2699999999999999E-3</v>
      </c>
      <c r="E274">
        <v>2.2699999999999999E-3</v>
      </c>
      <c r="F274" s="1">
        <v>2E-3</v>
      </c>
      <c r="G274" s="1">
        <v>1.9E-3</v>
      </c>
      <c r="H274" s="1">
        <f t="shared" ref="H274:H290" si="88">ABS(G274/F274)</f>
        <v>0.95</v>
      </c>
      <c r="J274" t="s">
        <v>7</v>
      </c>
      <c r="K274">
        <v>4</v>
      </c>
      <c r="L274">
        <v>0.2</v>
      </c>
      <c r="M274">
        <v>2.2699999999999999E-3</v>
      </c>
      <c r="N274">
        <v>2.2599999999999999E-3</v>
      </c>
      <c r="O274" s="1">
        <v>2E-3</v>
      </c>
      <c r="P274" s="1">
        <v>3.0999999999999999E-3</v>
      </c>
      <c r="Q274" s="1">
        <f t="shared" ref="Q274:Q290" si="89">ABS(P274/O274)</f>
        <v>1.5499999999999998</v>
      </c>
      <c r="S274" t="s">
        <v>7</v>
      </c>
      <c r="T274">
        <v>4</v>
      </c>
      <c r="U274">
        <v>0.2</v>
      </c>
      <c r="V274">
        <v>2.2699999999999999E-3</v>
      </c>
      <c r="W274">
        <v>2.2699999999999999E-3</v>
      </c>
      <c r="X274" s="1">
        <v>2E-3</v>
      </c>
      <c r="Y274" s="1">
        <v>8.9999999999999998E-4</v>
      </c>
      <c r="Z274" s="1">
        <f t="shared" ref="Z274:Z290" si="90">ABS(Y274/X274)</f>
        <v>0.44999999999999996</v>
      </c>
      <c r="AB274" t="s">
        <v>7</v>
      </c>
      <c r="AC274">
        <v>4</v>
      </c>
      <c r="AD274">
        <v>0.2</v>
      </c>
      <c r="AE274">
        <v>2.2699999999999999E-3</v>
      </c>
      <c r="AF274">
        <v>2.2699999999999999E-3</v>
      </c>
      <c r="AG274" s="1">
        <v>2E-3</v>
      </c>
      <c r="AH274" s="1">
        <v>1.5E-3</v>
      </c>
      <c r="AI274" s="1">
        <f t="shared" ref="AI274:AI290" si="91">ABS(AH274/AG274)</f>
        <v>0.75</v>
      </c>
      <c r="AK274" t="s">
        <v>7</v>
      </c>
      <c r="AL274">
        <v>4</v>
      </c>
      <c r="AM274">
        <v>0.2</v>
      </c>
      <c r="AN274">
        <v>2.2699999999999999E-3</v>
      </c>
      <c r="AO274">
        <v>2.2599999999999999E-3</v>
      </c>
      <c r="AP274" s="1">
        <v>2E-3</v>
      </c>
      <c r="AQ274" s="1">
        <v>3.3E-3</v>
      </c>
      <c r="AR274" s="1">
        <f t="shared" ref="AR274:AR290" si="92">ABS(AQ274/AP274)</f>
        <v>1.65</v>
      </c>
      <c r="AT274" s="13">
        <f t="shared" si="87"/>
        <v>2.4171339695726723E-3</v>
      </c>
      <c r="AU274" s="8">
        <f t="shared" ref="AU274:AU290" si="93">( D274 - AVERAGE(AO274,AF274,W274,N274,E274))/ D274</f>
        <v>1.7621145374449769E-3</v>
      </c>
    </row>
    <row r="275" spans="1:47" x14ac:dyDescent="0.35">
      <c r="A275" s="17" t="s">
        <v>7</v>
      </c>
      <c r="B275">
        <v>8</v>
      </c>
      <c r="C275">
        <v>0.2</v>
      </c>
      <c r="D275">
        <v>1.2999999999999999E-5</v>
      </c>
      <c r="E275">
        <v>1.26E-5</v>
      </c>
      <c r="F275" s="1">
        <v>4.7E-2</v>
      </c>
      <c r="G275" s="1">
        <v>0.03</v>
      </c>
      <c r="H275" s="1">
        <f t="shared" si="88"/>
        <v>0.63829787234042545</v>
      </c>
      <c r="J275" t="s">
        <v>7</v>
      </c>
      <c r="K275">
        <v>8</v>
      </c>
      <c r="L275">
        <v>0.2</v>
      </c>
      <c r="M275">
        <v>1.2999999999999999E-5</v>
      </c>
      <c r="N275">
        <v>1.2999999999999999E-5</v>
      </c>
      <c r="O275" s="1">
        <v>4.7E-2</v>
      </c>
      <c r="P275" s="1">
        <v>-1.5E-3</v>
      </c>
      <c r="Q275" s="1">
        <f t="shared" si="89"/>
        <v>3.1914893617021274E-2</v>
      </c>
      <c r="S275" t="s">
        <v>7</v>
      </c>
      <c r="T275">
        <v>8</v>
      </c>
      <c r="U275">
        <v>0.2</v>
      </c>
      <c r="V275">
        <v>1.2999999999999999E-5</v>
      </c>
      <c r="W275">
        <v>1.3200000000000001E-5</v>
      </c>
      <c r="X275" s="1">
        <v>4.7E-2</v>
      </c>
      <c r="Y275" s="1">
        <v>-1.8499999999999999E-2</v>
      </c>
      <c r="Z275" s="1">
        <f t="shared" si="90"/>
        <v>0.3936170212765957</v>
      </c>
      <c r="AB275" t="s">
        <v>7</v>
      </c>
      <c r="AC275">
        <v>8</v>
      </c>
      <c r="AD275">
        <v>0.2</v>
      </c>
      <c r="AE275">
        <v>1.2999999999999999E-5</v>
      </c>
      <c r="AF275">
        <v>1.2999999999999999E-5</v>
      </c>
      <c r="AG275" s="1">
        <v>4.7E-2</v>
      </c>
      <c r="AH275" s="1">
        <v>-3.8E-3</v>
      </c>
      <c r="AI275" s="1">
        <f t="shared" si="91"/>
        <v>8.085106382978724E-2</v>
      </c>
      <c r="AK275" t="s">
        <v>7</v>
      </c>
      <c r="AL275">
        <v>8</v>
      </c>
      <c r="AM275">
        <v>0.2</v>
      </c>
      <c r="AN275">
        <v>1.2999999999999999E-5</v>
      </c>
      <c r="AO275">
        <v>1.2300000000000001E-5</v>
      </c>
      <c r="AP275" s="1">
        <v>4.7E-2</v>
      </c>
      <c r="AQ275" s="1">
        <v>5.0799999999999998E-2</v>
      </c>
      <c r="AR275" s="1">
        <f t="shared" si="92"/>
        <v>1.0808510638297872</v>
      </c>
      <c r="AT275" s="13">
        <f t="shared" si="87"/>
        <v>2.8339940911988978E-2</v>
      </c>
      <c r="AU275" s="8">
        <f t="shared" si="93"/>
        <v>1.3846153846153845E-2</v>
      </c>
    </row>
    <row r="276" spans="1:47" x14ac:dyDescent="0.35">
      <c r="A276" s="17" t="s">
        <v>8</v>
      </c>
      <c r="B276">
        <v>0.8</v>
      </c>
      <c r="C276">
        <v>0.2</v>
      </c>
      <c r="D276">
        <v>9.6599999999999995E-4</v>
      </c>
      <c r="E276">
        <v>1.0200000000000001E-3</v>
      </c>
      <c r="F276" s="1">
        <v>2.3E-2</v>
      </c>
      <c r="G276" s="1">
        <v>-5.6399999999999999E-2</v>
      </c>
      <c r="H276" s="1">
        <f t="shared" si="88"/>
        <v>2.4521739130434783</v>
      </c>
      <c r="J276" t="s">
        <v>8</v>
      </c>
      <c r="K276">
        <v>0.8</v>
      </c>
      <c r="L276">
        <v>0.2</v>
      </c>
      <c r="M276">
        <v>9.6599999999999995E-4</v>
      </c>
      <c r="N276">
        <v>1.0300000000000001E-3</v>
      </c>
      <c r="O276" s="1">
        <v>2.3E-2</v>
      </c>
      <c r="P276" s="1">
        <v>-6.8500000000000005E-2</v>
      </c>
      <c r="Q276" s="1">
        <f t="shared" si="89"/>
        <v>2.9782608695652177</v>
      </c>
      <c r="S276" t="s">
        <v>8</v>
      </c>
      <c r="T276">
        <v>0.8</v>
      </c>
      <c r="U276">
        <v>0.2</v>
      </c>
      <c r="V276">
        <v>9.6599999999999995E-4</v>
      </c>
      <c r="W276">
        <v>1.01E-3</v>
      </c>
      <c r="X276" s="1">
        <v>2.3E-2</v>
      </c>
      <c r="Y276" s="1">
        <v>-4.4299999999999999E-2</v>
      </c>
      <c r="Z276" s="1">
        <f t="shared" si="90"/>
        <v>1.9260869565217391</v>
      </c>
      <c r="AB276" t="s">
        <v>8</v>
      </c>
      <c r="AC276">
        <v>0.8</v>
      </c>
      <c r="AD276">
        <v>0.2</v>
      </c>
      <c r="AE276">
        <v>9.6599999999999995E-4</v>
      </c>
      <c r="AF276">
        <v>1.01E-3</v>
      </c>
      <c r="AG276" s="1">
        <v>2.3E-2</v>
      </c>
      <c r="AH276" s="1">
        <v>-4.7600000000000003E-2</v>
      </c>
      <c r="AI276" s="1">
        <f t="shared" si="91"/>
        <v>2.0695652173913044</v>
      </c>
      <c r="AK276" t="s">
        <v>8</v>
      </c>
      <c r="AL276">
        <v>0.8</v>
      </c>
      <c r="AM276">
        <v>0.2</v>
      </c>
      <c r="AN276">
        <v>9.6599999999999995E-4</v>
      </c>
      <c r="AO276">
        <v>1.0200000000000001E-3</v>
      </c>
      <c r="AP276" s="1">
        <v>2.3E-2</v>
      </c>
      <c r="AQ276" s="1">
        <v>-5.9400000000000001E-2</v>
      </c>
      <c r="AR276" s="1">
        <f t="shared" si="92"/>
        <v>2.5826086956521741</v>
      </c>
      <c r="AT276" s="14">
        <f t="shared" si="87"/>
        <v>8.2186643078003691E-3</v>
      </c>
      <c r="AU276" s="9">
        <f t="shared" si="93"/>
        <v>-5.3830227743271522E-2</v>
      </c>
    </row>
    <row r="277" spans="1:47" x14ac:dyDescent="0.35">
      <c r="A277" s="17" t="s">
        <v>8</v>
      </c>
      <c r="B277">
        <v>4</v>
      </c>
      <c r="C277">
        <v>0.2</v>
      </c>
      <c r="D277">
        <v>1.3699999999999999E-5</v>
      </c>
      <c r="E277">
        <v>1.3699999999999999E-5</v>
      </c>
      <c r="F277" s="1">
        <v>6.3E-2</v>
      </c>
      <c r="G277" s="1">
        <v>6.9999999999999999E-4</v>
      </c>
      <c r="H277" s="1">
        <f t="shared" si="88"/>
        <v>1.1111111111111112E-2</v>
      </c>
      <c r="J277" t="s">
        <v>8</v>
      </c>
      <c r="K277">
        <v>4</v>
      </c>
      <c r="L277">
        <v>0.2</v>
      </c>
      <c r="M277">
        <v>1.3699999999999999E-5</v>
      </c>
      <c r="N277">
        <v>1.4800000000000001E-5</v>
      </c>
      <c r="O277" s="1">
        <v>6.3E-2</v>
      </c>
      <c r="P277" s="1">
        <v>-8.1799999999999998E-2</v>
      </c>
      <c r="Q277" s="1">
        <f t="shared" si="89"/>
        <v>1.2984126984126985</v>
      </c>
      <c r="S277" t="s">
        <v>8</v>
      </c>
      <c r="T277">
        <v>4</v>
      </c>
      <c r="U277">
        <v>0.2</v>
      </c>
      <c r="V277">
        <v>1.3699999999999999E-5</v>
      </c>
      <c r="W277">
        <v>1.38E-5</v>
      </c>
      <c r="X277" s="1">
        <v>6.3E-2</v>
      </c>
      <c r="Y277" s="1">
        <v>-5.7999999999999996E-3</v>
      </c>
      <c r="Z277" s="1">
        <f t="shared" si="90"/>
        <v>9.2063492063492056E-2</v>
      </c>
      <c r="AB277" t="s">
        <v>8</v>
      </c>
      <c r="AC277">
        <v>4</v>
      </c>
      <c r="AD277">
        <v>0.2</v>
      </c>
      <c r="AE277">
        <v>1.3699999999999999E-5</v>
      </c>
      <c r="AF277">
        <v>1.2799999999999999E-5</v>
      </c>
      <c r="AG277" s="1">
        <v>6.3E-2</v>
      </c>
      <c r="AH277" s="1">
        <v>6.7900000000000002E-2</v>
      </c>
      <c r="AI277" s="1">
        <f t="shared" si="91"/>
        <v>1.0777777777777777</v>
      </c>
      <c r="AK277" t="s">
        <v>8</v>
      </c>
      <c r="AL277">
        <v>4</v>
      </c>
      <c r="AM277">
        <v>0.2</v>
      </c>
      <c r="AN277">
        <v>1.3699999999999999E-5</v>
      </c>
      <c r="AO277">
        <v>1.42E-5</v>
      </c>
      <c r="AP277" s="1">
        <v>6.3E-2</v>
      </c>
      <c r="AQ277" s="1">
        <v>-3.5799999999999998E-2</v>
      </c>
      <c r="AR277" s="1">
        <f t="shared" si="92"/>
        <v>0.56825396825396823</v>
      </c>
      <c r="AT277" s="14">
        <f t="shared" si="87"/>
        <v>5.2920983610078666E-2</v>
      </c>
      <c r="AU277" s="9">
        <f t="shared" si="93"/>
        <v>-1.1678832116788457E-2</v>
      </c>
    </row>
    <row r="278" spans="1:47" x14ac:dyDescent="0.35">
      <c r="A278" s="17" t="s">
        <v>8</v>
      </c>
      <c r="B278">
        <v>8</v>
      </c>
      <c r="C278">
        <v>0.2</v>
      </c>
      <c r="D278">
        <v>7.2800000000000003E-8</v>
      </c>
      <c r="E278">
        <v>7.0000000000000005E-8</v>
      </c>
      <c r="F278" s="1">
        <v>0.187</v>
      </c>
      <c r="G278" s="1">
        <v>3.85E-2</v>
      </c>
      <c r="H278" s="1">
        <f t="shared" si="88"/>
        <v>0.20588235294117646</v>
      </c>
      <c r="J278" t="s">
        <v>8</v>
      </c>
      <c r="K278">
        <v>8</v>
      </c>
      <c r="L278">
        <v>0.2</v>
      </c>
      <c r="M278">
        <v>7.2800000000000003E-8</v>
      </c>
      <c r="N278">
        <v>8.0000000000000002E-8</v>
      </c>
      <c r="O278" s="1">
        <v>0.187</v>
      </c>
      <c r="P278" s="1">
        <v>-9.8900000000000002E-2</v>
      </c>
      <c r="Q278" s="1">
        <f t="shared" si="89"/>
        <v>0.52887700534759363</v>
      </c>
      <c r="S278" t="s">
        <v>8</v>
      </c>
      <c r="T278">
        <v>8</v>
      </c>
      <c r="U278">
        <v>0.2</v>
      </c>
      <c r="V278">
        <v>7.2800000000000003E-8</v>
      </c>
      <c r="W278">
        <v>3.3000000000000002E-7</v>
      </c>
      <c r="X278" s="1">
        <v>0.187</v>
      </c>
      <c r="Y278" s="1">
        <v>-3.5329999999999999</v>
      </c>
      <c r="Z278" s="1">
        <f t="shared" si="90"/>
        <v>18.893048128342247</v>
      </c>
      <c r="AB278" t="s">
        <v>8</v>
      </c>
      <c r="AC278">
        <v>8</v>
      </c>
      <c r="AD278">
        <v>0.2</v>
      </c>
      <c r="AE278">
        <v>7.2800000000000003E-8</v>
      </c>
      <c r="AF278">
        <v>2.9999999999999997E-8</v>
      </c>
      <c r="AG278" s="1">
        <v>0.187</v>
      </c>
      <c r="AH278" s="1">
        <v>0.58789999999999998</v>
      </c>
      <c r="AI278" s="1">
        <f t="shared" si="91"/>
        <v>3.1438502673796789</v>
      </c>
      <c r="AK278" t="s">
        <v>8</v>
      </c>
      <c r="AL278">
        <v>8</v>
      </c>
      <c r="AM278">
        <v>0.2</v>
      </c>
      <c r="AN278">
        <v>7.2800000000000003E-8</v>
      </c>
      <c r="AO278">
        <v>2E-8</v>
      </c>
      <c r="AP278" s="1">
        <v>0.187</v>
      </c>
      <c r="AQ278" s="1">
        <v>0.72529999999999994</v>
      </c>
      <c r="AR278" s="1">
        <f t="shared" si="92"/>
        <v>3.878609625668449</v>
      </c>
      <c r="AT278" s="14">
        <f t="shared" si="87"/>
        <v>1.2055555509984823</v>
      </c>
      <c r="AU278" s="9">
        <f t="shared" si="93"/>
        <v>-0.45604395604395592</v>
      </c>
    </row>
    <row r="279" spans="1:47" x14ac:dyDescent="0.35">
      <c r="A279" s="17" t="s">
        <v>9</v>
      </c>
      <c r="B279">
        <v>0.8</v>
      </c>
      <c r="C279">
        <v>0.2</v>
      </c>
      <c r="D279">
        <v>5.4700000000000001E-5</v>
      </c>
      <c r="E279">
        <v>5.5099999999999998E-5</v>
      </c>
      <c r="F279" s="1">
        <v>0.06</v>
      </c>
      <c r="G279" s="1">
        <v>-7.1000000000000004E-3</v>
      </c>
      <c r="H279" s="1">
        <f t="shared" si="88"/>
        <v>0.11833333333333335</v>
      </c>
      <c r="J279" t="s">
        <v>9</v>
      </c>
      <c r="K279">
        <v>0.8</v>
      </c>
      <c r="L279">
        <v>0.2</v>
      </c>
      <c r="M279">
        <v>5.4700000000000001E-5</v>
      </c>
      <c r="N279">
        <v>5.5999999999999999E-5</v>
      </c>
      <c r="O279" s="1">
        <v>0.06</v>
      </c>
      <c r="P279" s="1">
        <v>-2.47E-2</v>
      </c>
      <c r="Q279" s="1">
        <f t="shared" si="89"/>
        <v>0.41166666666666668</v>
      </c>
      <c r="S279" t="s">
        <v>9</v>
      </c>
      <c r="T279">
        <v>0.8</v>
      </c>
      <c r="U279">
        <v>0.2</v>
      </c>
      <c r="V279">
        <v>5.4700000000000001E-5</v>
      </c>
      <c r="W279">
        <v>6.05E-5</v>
      </c>
      <c r="X279" s="1">
        <v>0.06</v>
      </c>
      <c r="Y279" s="1">
        <v>-0.10680000000000001</v>
      </c>
      <c r="Z279" s="1">
        <f t="shared" si="90"/>
        <v>1.7800000000000002</v>
      </c>
      <c r="AB279" t="s">
        <v>9</v>
      </c>
      <c r="AC279">
        <v>0.8</v>
      </c>
      <c r="AD279">
        <v>0.2</v>
      </c>
      <c r="AE279">
        <v>5.4700000000000001E-5</v>
      </c>
      <c r="AF279">
        <v>5.7800000000000002E-5</v>
      </c>
      <c r="AG279" s="1">
        <v>0.06</v>
      </c>
      <c r="AH279" s="1">
        <v>-5.6300000000000003E-2</v>
      </c>
      <c r="AI279" s="1">
        <f t="shared" si="91"/>
        <v>0.93833333333333346</v>
      </c>
      <c r="AK279" t="s">
        <v>9</v>
      </c>
      <c r="AL279">
        <v>0.8</v>
      </c>
      <c r="AM279">
        <v>0.2</v>
      </c>
      <c r="AN279">
        <v>5.4700000000000001E-5</v>
      </c>
      <c r="AO279">
        <v>5.66E-5</v>
      </c>
      <c r="AP279" s="1">
        <v>0.06</v>
      </c>
      <c r="AQ279" s="1">
        <v>-3.5299999999999998E-2</v>
      </c>
      <c r="AR279" s="1">
        <f t="shared" si="92"/>
        <v>0.58833333333333337</v>
      </c>
      <c r="AT279" s="12">
        <f t="shared" si="87"/>
        <v>3.6525493733874453E-2</v>
      </c>
      <c r="AU279" s="7">
        <f t="shared" si="93"/>
        <v>-4.5703839122486281E-2</v>
      </c>
    </row>
    <row r="280" spans="1:47" x14ac:dyDescent="0.35">
      <c r="A280" s="17" t="s">
        <v>9</v>
      </c>
      <c r="B280">
        <v>4</v>
      </c>
      <c r="C280">
        <v>0.2</v>
      </c>
      <c r="D280">
        <v>6.2399999999999998E-7</v>
      </c>
      <c r="E280">
        <v>1.02E-6</v>
      </c>
      <c r="F280" s="1">
        <v>0.35499999999999998</v>
      </c>
      <c r="G280" s="1">
        <v>-0.63460000000000005</v>
      </c>
      <c r="H280" s="1">
        <f t="shared" si="88"/>
        <v>1.7876056338028172</v>
      </c>
      <c r="J280" t="s">
        <v>9</v>
      </c>
      <c r="K280">
        <v>4</v>
      </c>
      <c r="L280">
        <v>0.2</v>
      </c>
      <c r="M280">
        <v>6.2399999999999998E-7</v>
      </c>
      <c r="N280">
        <v>7.7000000000000004E-7</v>
      </c>
      <c r="O280" s="1">
        <v>0.35499999999999998</v>
      </c>
      <c r="P280" s="1">
        <v>-0.23400000000000001</v>
      </c>
      <c r="Q280" s="1">
        <f t="shared" si="89"/>
        <v>0.65915492957746491</v>
      </c>
      <c r="S280" t="s">
        <v>9</v>
      </c>
      <c r="T280">
        <v>4</v>
      </c>
      <c r="U280">
        <v>0.2</v>
      </c>
      <c r="V280">
        <v>6.2399999999999998E-7</v>
      </c>
      <c r="W280">
        <v>5.7999999999999995E-7</v>
      </c>
      <c r="X280" s="1">
        <v>0.35499999999999998</v>
      </c>
      <c r="Y280" s="1">
        <v>7.0499999999999993E-2</v>
      </c>
      <c r="Z280" s="1">
        <f t="shared" si="90"/>
        <v>0.19859154929577463</v>
      </c>
      <c r="AB280" t="s">
        <v>9</v>
      </c>
      <c r="AC280">
        <v>4</v>
      </c>
      <c r="AD280">
        <v>0.2</v>
      </c>
      <c r="AE280">
        <v>6.2399999999999998E-7</v>
      </c>
      <c r="AF280">
        <v>8.2999999999999999E-7</v>
      </c>
      <c r="AG280" s="1">
        <v>0.35499999999999998</v>
      </c>
      <c r="AH280" s="1">
        <v>-0.3301</v>
      </c>
      <c r="AI280" s="1">
        <f t="shared" si="91"/>
        <v>0.92985915492957749</v>
      </c>
      <c r="AK280" t="s">
        <v>9</v>
      </c>
      <c r="AL280">
        <v>4</v>
      </c>
      <c r="AM280">
        <v>0.2</v>
      </c>
      <c r="AN280">
        <v>6.2399999999999998E-7</v>
      </c>
      <c r="AO280">
        <v>7.7000000000000004E-7</v>
      </c>
      <c r="AP280" s="1">
        <v>0.35499999999999998</v>
      </c>
      <c r="AQ280" s="1">
        <v>-0.23400000000000001</v>
      </c>
      <c r="AR280" s="1">
        <f t="shared" si="92"/>
        <v>0.65915492957746491</v>
      </c>
      <c r="AT280" s="12">
        <f t="shared" si="87"/>
        <v>0.1984576559035561</v>
      </c>
      <c r="AU280" s="7">
        <f t="shared" si="93"/>
        <v>-0.27243589743589719</v>
      </c>
    </row>
    <row r="281" spans="1:47" x14ac:dyDescent="0.35">
      <c r="A281" s="17" t="s">
        <v>9</v>
      </c>
      <c r="B281">
        <v>8</v>
      </c>
      <c r="C281">
        <v>0.2</v>
      </c>
      <c r="D281">
        <v>4.0199999999999998E-9</v>
      </c>
      <c r="E281">
        <v>0</v>
      </c>
      <c r="F281" s="1">
        <v>0.248</v>
      </c>
      <c r="G281" s="1">
        <v>1</v>
      </c>
      <c r="H281" s="1">
        <f t="shared" si="88"/>
        <v>4.032258064516129</v>
      </c>
      <c r="J281" t="s">
        <v>9</v>
      </c>
      <c r="K281">
        <v>8</v>
      </c>
      <c r="L281">
        <v>0.2</v>
      </c>
      <c r="M281">
        <v>4.0199999999999998E-9</v>
      </c>
      <c r="N281">
        <v>0</v>
      </c>
      <c r="O281" s="1">
        <v>0.248</v>
      </c>
      <c r="P281" s="1">
        <v>1</v>
      </c>
      <c r="Q281" s="1">
        <f t="shared" si="89"/>
        <v>4.032258064516129</v>
      </c>
      <c r="S281" t="s">
        <v>9</v>
      </c>
      <c r="T281">
        <v>8</v>
      </c>
      <c r="U281">
        <v>0.2</v>
      </c>
      <c r="V281">
        <v>4.0199999999999998E-9</v>
      </c>
      <c r="W281">
        <v>0</v>
      </c>
      <c r="X281" s="1">
        <v>0.248</v>
      </c>
      <c r="Y281" s="1">
        <v>1</v>
      </c>
      <c r="Z281" s="1">
        <f t="shared" si="90"/>
        <v>4.032258064516129</v>
      </c>
      <c r="AB281" t="s">
        <v>9</v>
      </c>
      <c r="AC281">
        <v>8</v>
      </c>
      <c r="AD281">
        <v>0.2</v>
      </c>
      <c r="AE281">
        <v>4.0199999999999998E-9</v>
      </c>
      <c r="AF281">
        <v>5.9999999999999995E-8</v>
      </c>
      <c r="AG281" s="1">
        <v>0.248</v>
      </c>
      <c r="AH281" s="1">
        <v>-13.9254</v>
      </c>
      <c r="AI281" s="1">
        <f t="shared" si="91"/>
        <v>56.150806451612901</v>
      </c>
      <c r="AK281" t="s">
        <v>9</v>
      </c>
      <c r="AL281">
        <v>8</v>
      </c>
      <c r="AM281">
        <v>0.2</v>
      </c>
      <c r="AN281">
        <v>4.0199999999999998E-9</v>
      </c>
      <c r="AO281">
        <v>0</v>
      </c>
      <c r="AP281" s="1">
        <v>0.248</v>
      </c>
      <c r="AQ281" s="1">
        <v>1</v>
      </c>
      <c r="AR281" s="1">
        <f t="shared" si="92"/>
        <v>4.032258064516129</v>
      </c>
      <c r="AT281" s="12">
        <f t="shared" si="87"/>
        <v>2.2360679774997898</v>
      </c>
      <c r="AU281" s="7">
        <f t="shared" si="93"/>
        <v>-1.9850746268656716</v>
      </c>
    </row>
    <row r="282" spans="1:47" x14ac:dyDescent="0.35">
      <c r="A282" s="17" t="s">
        <v>7</v>
      </c>
      <c r="B282">
        <v>0.1</v>
      </c>
      <c r="C282">
        <v>0.9</v>
      </c>
      <c r="D282">
        <v>0.41299999999999998</v>
      </c>
      <c r="E282">
        <v>0.41399999999999998</v>
      </c>
      <c r="F282" s="1">
        <v>1E-3</v>
      </c>
      <c r="G282" s="1">
        <v>-1.4E-3</v>
      </c>
      <c r="H282" s="1">
        <f t="shared" si="88"/>
        <v>1.4</v>
      </c>
      <c r="J282" t="s">
        <v>7</v>
      </c>
      <c r="K282">
        <v>0.1</v>
      </c>
      <c r="L282">
        <v>0.9</v>
      </c>
      <c r="M282">
        <v>0.41299999999999998</v>
      </c>
      <c r="N282">
        <v>0.41399999999999998</v>
      </c>
      <c r="O282" s="1">
        <v>1E-3</v>
      </c>
      <c r="P282" s="1">
        <v>-1.2999999999999999E-3</v>
      </c>
      <c r="Q282" s="1">
        <f t="shared" si="89"/>
        <v>1.2999999999999998</v>
      </c>
      <c r="S282" t="s">
        <v>7</v>
      </c>
      <c r="T282">
        <v>0.1</v>
      </c>
      <c r="U282">
        <v>0.9</v>
      </c>
      <c r="V282">
        <v>0.41299999999999998</v>
      </c>
      <c r="W282">
        <v>0.41399999999999998</v>
      </c>
      <c r="X282" s="1">
        <v>1E-3</v>
      </c>
      <c r="Y282" s="1">
        <v>-1.5E-3</v>
      </c>
      <c r="Z282" s="1">
        <f t="shared" si="90"/>
        <v>1.5</v>
      </c>
      <c r="AB282" t="s">
        <v>7</v>
      </c>
      <c r="AC282">
        <v>0.1</v>
      </c>
      <c r="AD282">
        <v>0.9</v>
      </c>
      <c r="AE282">
        <v>0.41299999999999998</v>
      </c>
      <c r="AF282">
        <v>0.41399999999999998</v>
      </c>
      <c r="AG282" s="1">
        <v>1E-3</v>
      </c>
      <c r="AH282" s="1">
        <v>-1.5E-3</v>
      </c>
      <c r="AI282" s="1">
        <f t="shared" si="91"/>
        <v>1.5</v>
      </c>
      <c r="AK282" t="s">
        <v>7</v>
      </c>
      <c r="AL282">
        <v>0.1</v>
      </c>
      <c r="AM282">
        <v>0.9</v>
      </c>
      <c r="AN282">
        <v>0.41299999999999998</v>
      </c>
      <c r="AO282">
        <v>0.41399999999999998</v>
      </c>
      <c r="AP282" s="1">
        <v>1E-3</v>
      </c>
      <c r="AQ282" s="1">
        <v>-1.4E-3</v>
      </c>
      <c r="AR282" s="1">
        <f t="shared" si="92"/>
        <v>1.4</v>
      </c>
      <c r="AT282" s="13">
        <f t="shared" si="87"/>
        <v>0</v>
      </c>
      <c r="AU282" s="8">
        <f t="shared" si="93"/>
        <v>-2.421307506053271E-3</v>
      </c>
    </row>
    <row r="283" spans="1:47" x14ac:dyDescent="0.35">
      <c r="A283" s="17" t="s">
        <v>7</v>
      </c>
      <c r="B283">
        <v>0.5</v>
      </c>
      <c r="C283">
        <v>0.9</v>
      </c>
      <c r="D283">
        <v>0.187</v>
      </c>
      <c r="E283">
        <v>0.184</v>
      </c>
      <c r="F283" s="1">
        <v>5.0000000000000001E-3</v>
      </c>
      <c r="G283" s="1">
        <v>1.66E-2</v>
      </c>
      <c r="H283" s="1">
        <f t="shared" si="88"/>
        <v>3.32</v>
      </c>
      <c r="J283" t="s">
        <v>7</v>
      </c>
      <c r="K283">
        <v>0.5</v>
      </c>
      <c r="L283">
        <v>0.9</v>
      </c>
      <c r="M283">
        <v>0.187</v>
      </c>
      <c r="N283">
        <v>0.184</v>
      </c>
      <c r="O283" s="1">
        <v>5.0000000000000001E-3</v>
      </c>
      <c r="P283" s="1">
        <v>1.67E-2</v>
      </c>
      <c r="Q283" s="1">
        <f t="shared" si="89"/>
        <v>3.34</v>
      </c>
      <c r="S283" t="s">
        <v>7</v>
      </c>
      <c r="T283">
        <v>0.5</v>
      </c>
      <c r="U283">
        <v>0.9</v>
      </c>
      <c r="V283">
        <v>0.187</v>
      </c>
      <c r="W283">
        <v>0.184</v>
      </c>
      <c r="X283" s="1">
        <v>5.0000000000000001E-3</v>
      </c>
      <c r="Y283" s="1">
        <v>1.66E-2</v>
      </c>
      <c r="Z283" s="1">
        <f t="shared" si="90"/>
        <v>3.32</v>
      </c>
      <c r="AB283" t="s">
        <v>7</v>
      </c>
      <c r="AC283">
        <v>0.5</v>
      </c>
      <c r="AD283">
        <v>0.9</v>
      </c>
      <c r="AE283">
        <v>0.187</v>
      </c>
      <c r="AF283">
        <v>0.184</v>
      </c>
      <c r="AG283" s="1">
        <v>5.0000000000000001E-3</v>
      </c>
      <c r="AH283" s="1">
        <v>1.67E-2</v>
      </c>
      <c r="AI283" s="1">
        <f t="shared" si="91"/>
        <v>3.34</v>
      </c>
      <c r="AK283" t="s">
        <v>7</v>
      </c>
      <c r="AL283">
        <v>0.5</v>
      </c>
      <c r="AM283">
        <v>0.9</v>
      </c>
      <c r="AN283">
        <v>0.187</v>
      </c>
      <c r="AO283">
        <v>0.184</v>
      </c>
      <c r="AP283" s="1">
        <v>5.0000000000000001E-3</v>
      </c>
      <c r="AQ283" s="1">
        <v>1.6799999999999999E-2</v>
      </c>
      <c r="AR283" s="1">
        <f t="shared" si="92"/>
        <v>3.36</v>
      </c>
      <c r="AT283" s="13">
        <f t="shared" si="87"/>
        <v>0</v>
      </c>
      <c r="AU283" s="8">
        <f t="shared" si="93"/>
        <v>1.6042780748663117E-2</v>
      </c>
    </row>
    <row r="284" spans="1:47" x14ac:dyDescent="0.35">
      <c r="A284" s="17" t="s">
        <v>7</v>
      </c>
      <c r="B284">
        <v>1</v>
      </c>
      <c r="C284">
        <v>0.9</v>
      </c>
      <c r="D284">
        <v>6.8500000000000005E-2</v>
      </c>
      <c r="E284">
        <v>6.6199999999999995E-2</v>
      </c>
      <c r="F284" s="1">
        <v>0.01</v>
      </c>
      <c r="G284" s="1">
        <v>3.3500000000000002E-2</v>
      </c>
      <c r="H284" s="1">
        <f t="shared" si="88"/>
        <v>3.35</v>
      </c>
      <c r="J284" t="s">
        <v>7</v>
      </c>
      <c r="K284">
        <v>1</v>
      </c>
      <c r="L284">
        <v>0.9</v>
      </c>
      <c r="M284">
        <v>6.8500000000000005E-2</v>
      </c>
      <c r="N284">
        <v>6.6199999999999995E-2</v>
      </c>
      <c r="O284" s="1">
        <v>0.01</v>
      </c>
      <c r="P284" s="1">
        <v>3.3799999999999997E-2</v>
      </c>
      <c r="Q284" s="1">
        <f t="shared" si="89"/>
        <v>3.3799999999999994</v>
      </c>
      <c r="S284" t="s">
        <v>7</v>
      </c>
      <c r="T284">
        <v>1</v>
      </c>
      <c r="U284">
        <v>0.9</v>
      </c>
      <c r="V284">
        <v>6.8500000000000005E-2</v>
      </c>
      <c r="W284">
        <v>6.6199999999999995E-2</v>
      </c>
      <c r="X284" s="1">
        <v>0.01</v>
      </c>
      <c r="Y284" s="1">
        <v>3.4099999999999998E-2</v>
      </c>
      <c r="Z284" s="1">
        <f t="shared" si="90"/>
        <v>3.4099999999999997</v>
      </c>
      <c r="AB284" t="s">
        <v>7</v>
      </c>
      <c r="AC284">
        <v>1</v>
      </c>
      <c r="AD284">
        <v>0.9</v>
      </c>
      <c r="AE284">
        <v>6.8500000000000005E-2</v>
      </c>
      <c r="AF284">
        <v>6.6199999999999995E-2</v>
      </c>
      <c r="AG284" s="1">
        <v>0.01</v>
      </c>
      <c r="AH284" s="1">
        <v>3.3500000000000002E-2</v>
      </c>
      <c r="AI284" s="1">
        <f t="shared" si="91"/>
        <v>3.35</v>
      </c>
      <c r="AK284" t="s">
        <v>7</v>
      </c>
      <c r="AL284">
        <v>1</v>
      </c>
      <c r="AM284">
        <v>0.9</v>
      </c>
      <c r="AN284">
        <v>6.8500000000000005E-2</v>
      </c>
      <c r="AO284">
        <v>6.6199999999999995E-2</v>
      </c>
      <c r="AP284" s="1">
        <v>0.01</v>
      </c>
      <c r="AQ284" s="1">
        <v>3.4000000000000002E-2</v>
      </c>
      <c r="AR284" s="1">
        <f t="shared" si="92"/>
        <v>3.4000000000000004</v>
      </c>
      <c r="AT284" s="13">
        <f t="shared" si="87"/>
        <v>0</v>
      </c>
      <c r="AU284" s="8">
        <f t="shared" si="93"/>
        <v>3.3576642335766571E-2</v>
      </c>
    </row>
    <row r="285" spans="1:47" x14ac:dyDescent="0.35">
      <c r="A285" s="17" t="s">
        <v>8</v>
      </c>
      <c r="B285">
        <v>0.1</v>
      </c>
      <c r="C285">
        <v>0.9</v>
      </c>
      <c r="D285">
        <v>9.3100000000000002E-2</v>
      </c>
      <c r="E285">
        <v>9.8900000000000002E-2</v>
      </c>
      <c r="F285" s="1">
        <v>2.1000000000000001E-2</v>
      </c>
      <c r="G285" s="1">
        <v>-6.25E-2</v>
      </c>
      <c r="H285" s="1">
        <f t="shared" si="88"/>
        <v>2.9761904761904758</v>
      </c>
      <c r="J285" t="s">
        <v>8</v>
      </c>
      <c r="K285">
        <v>0.1</v>
      </c>
      <c r="L285">
        <v>0.9</v>
      </c>
      <c r="M285">
        <v>9.3100000000000002E-2</v>
      </c>
      <c r="N285">
        <v>9.9099999999999994E-2</v>
      </c>
      <c r="O285" s="1">
        <v>2.1000000000000001E-2</v>
      </c>
      <c r="P285" s="1">
        <v>-6.4500000000000002E-2</v>
      </c>
      <c r="Q285" s="1">
        <f t="shared" si="89"/>
        <v>3.0714285714285712</v>
      </c>
      <c r="S285" t="s">
        <v>8</v>
      </c>
      <c r="T285">
        <v>0.1</v>
      </c>
      <c r="U285">
        <v>0.9</v>
      </c>
      <c r="V285">
        <v>9.3100000000000002E-2</v>
      </c>
      <c r="W285">
        <v>9.9000000000000005E-2</v>
      </c>
      <c r="X285" s="1">
        <v>2.1000000000000001E-2</v>
      </c>
      <c r="Y285" s="1">
        <v>-6.3799999999999996E-2</v>
      </c>
      <c r="Z285" s="1">
        <f t="shared" si="90"/>
        <v>3.0380952380952375</v>
      </c>
      <c r="AB285" t="s">
        <v>8</v>
      </c>
      <c r="AC285">
        <v>0.1</v>
      </c>
      <c r="AD285">
        <v>0.9</v>
      </c>
      <c r="AE285">
        <v>9.3100000000000002E-2</v>
      </c>
      <c r="AF285">
        <v>9.9000000000000005E-2</v>
      </c>
      <c r="AG285" s="1">
        <v>2.1000000000000001E-2</v>
      </c>
      <c r="AH285" s="1">
        <v>-6.3299999999999995E-2</v>
      </c>
      <c r="AI285" s="1">
        <f t="shared" si="91"/>
        <v>3.0142857142857138</v>
      </c>
      <c r="AK285" t="s">
        <v>8</v>
      </c>
      <c r="AL285">
        <v>0.1</v>
      </c>
      <c r="AM285">
        <v>0.9</v>
      </c>
      <c r="AN285">
        <v>9.3100000000000002E-2</v>
      </c>
      <c r="AO285">
        <v>9.9099999999999994E-2</v>
      </c>
      <c r="AP285" s="1">
        <v>2.1000000000000001E-2</v>
      </c>
      <c r="AQ285" s="1">
        <v>-6.4000000000000001E-2</v>
      </c>
      <c r="AR285" s="1">
        <f t="shared" si="92"/>
        <v>3.0476190476190474</v>
      </c>
      <c r="AT285" s="14">
        <f t="shared" si="87"/>
        <v>8.4494044287420039E-4</v>
      </c>
      <c r="AU285" s="9">
        <f t="shared" si="93"/>
        <v>-6.358754027926955E-2</v>
      </c>
    </row>
    <row r="286" spans="1:47" x14ac:dyDescent="0.35">
      <c r="A286" s="17" t="s">
        <v>8</v>
      </c>
      <c r="B286">
        <v>0.5</v>
      </c>
      <c r="C286">
        <v>0.9</v>
      </c>
      <c r="D286">
        <v>4.6300000000000001E-2</v>
      </c>
      <c r="E286">
        <v>4.8099999999999997E-2</v>
      </c>
      <c r="F286" s="1">
        <v>1.7000000000000001E-2</v>
      </c>
      <c r="G286" s="1">
        <v>-3.7999999999999999E-2</v>
      </c>
      <c r="H286" s="1">
        <f t="shared" si="88"/>
        <v>2.2352941176470584</v>
      </c>
      <c r="J286" t="s">
        <v>8</v>
      </c>
      <c r="K286">
        <v>0.5</v>
      </c>
      <c r="L286">
        <v>0.9</v>
      </c>
      <c r="M286">
        <v>4.6300000000000001E-2</v>
      </c>
      <c r="N286">
        <v>4.8000000000000001E-2</v>
      </c>
      <c r="O286" s="1">
        <v>1.7000000000000001E-2</v>
      </c>
      <c r="P286" s="1">
        <v>-3.6499999999999998E-2</v>
      </c>
      <c r="Q286" s="1">
        <f t="shared" si="89"/>
        <v>2.1470588235294117</v>
      </c>
      <c r="S286" t="s">
        <v>8</v>
      </c>
      <c r="T286">
        <v>0.5</v>
      </c>
      <c r="U286">
        <v>0.9</v>
      </c>
      <c r="V286">
        <v>4.6300000000000001E-2</v>
      </c>
      <c r="W286">
        <v>4.8000000000000001E-2</v>
      </c>
      <c r="X286" s="1">
        <v>1.7000000000000001E-2</v>
      </c>
      <c r="Y286" s="1">
        <v>-3.7100000000000001E-2</v>
      </c>
      <c r="Z286" s="1">
        <f t="shared" si="90"/>
        <v>2.1823529411764704</v>
      </c>
      <c r="AB286" t="s">
        <v>8</v>
      </c>
      <c r="AC286">
        <v>0.5</v>
      </c>
      <c r="AD286">
        <v>0.9</v>
      </c>
      <c r="AE286">
        <v>4.6300000000000001E-2</v>
      </c>
      <c r="AF286">
        <v>4.8000000000000001E-2</v>
      </c>
      <c r="AG286" s="1">
        <v>1.7000000000000001E-2</v>
      </c>
      <c r="AH286" s="1">
        <v>-3.6499999999999998E-2</v>
      </c>
      <c r="AI286" s="1">
        <f t="shared" si="91"/>
        <v>2.1470588235294117</v>
      </c>
      <c r="AK286" t="s">
        <v>8</v>
      </c>
      <c r="AL286">
        <v>0.5</v>
      </c>
      <c r="AM286">
        <v>0.9</v>
      </c>
      <c r="AN286">
        <v>4.6300000000000001E-2</v>
      </c>
      <c r="AO286">
        <v>4.7899999999999998E-2</v>
      </c>
      <c r="AP286" s="1">
        <v>1.7000000000000001E-2</v>
      </c>
      <c r="AQ286" s="1">
        <v>-3.56E-2</v>
      </c>
      <c r="AR286" s="1">
        <f t="shared" si="92"/>
        <v>2.0941176470588232</v>
      </c>
      <c r="AT286" s="14">
        <f t="shared" si="87"/>
        <v>1.4731391274719649E-3</v>
      </c>
      <c r="AU286" s="9">
        <f t="shared" si="93"/>
        <v>-3.6717062634989202E-2</v>
      </c>
    </row>
    <row r="287" spans="1:47" x14ac:dyDescent="0.35">
      <c r="A287" s="17" t="s">
        <v>8</v>
      </c>
      <c r="B287">
        <v>1</v>
      </c>
      <c r="C287">
        <v>0.9</v>
      </c>
      <c r="D287">
        <v>1.6500000000000001E-2</v>
      </c>
      <c r="E287">
        <v>1.67E-2</v>
      </c>
      <c r="F287" s="1">
        <v>1.4E-2</v>
      </c>
      <c r="G287" s="1">
        <v>-1.18E-2</v>
      </c>
      <c r="H287" s="1">
        <f t="shared" si="88"/>
        <v>0.84285714285714286</v>
      </c>
      <c r="J287" t="s">
        <v>8</v>
      </c>
      <c r="K287">
        <v>1</v>
      </c>
      <c r="L287">
        <v>0.9</v>
      </c>
      <c r="M287">
        <v>1.6500000000000001E-2</v>
      </c>
      <c r="N287">
        <v>1.66E-2</v>
      </c>
      <c r="O287" s="1">
        <v>1.4E-2</v>
      </c>
      <c r="P287" s="1">
        <v>-6.7999999999999996E-3</v>
      </c>
      <c r="Q287" s="1">
        <f t="shared" si="89"/>
        <v>0.48571428571428565</v>
      </c>
      <c r="S287" t="s">
        <v>8</v>
      </c>
      <c r="T287">
        <v>1</v>
      </c>
      <c r="U287">
        <v>0.9</v>
      </c>
      <c r="V287">
        <v>1.6500000000000001E-2</v>
      </c>
      <c r="W287">
        <v>1.66E-2</v>
      </c>
      <c r="X287" s="1">
        <v>1.4E-2</v>
      </c>
      <c r="Y287" s="1">
        <v>-8.0000000000000002E-3</v>
      </c>
      <c r="Z287" s="1">
        <f t="shared" si="90"/>
        <v>0.5714285714285714</v>
      </c>
      <c r="AB287" t="s">
        <v>8</v>
      </c>
      <c r="AC287">
        <v>1</v>
      </c>
      <c r="AD287">
        <v>0.9</v>
      </c>
      <c r="AE287">
        <v>1.6500000000000001E-2</v>
      </c>
      <c r="AF287">
        <v>1.66E-2</v>
      </c>
      <c r="AG287" s="1">
        <v>1.4E-2</v>
      </c>
      <c r="AH287" s="1">
        <v>-7.9000000000000008E-3</v>
      </c>
      <c r="AI287" s="1">
        <f t="shared" si="91"/>
        <v>0.56428571428571428</v>
      </c>
      <c r="AK287" t="s">
        <v>8</v>
      </c>
      <c r="AL287">
        <v>1</v>
      </c>
      <c r="AM287">
        <v>0.9</v>
      </c>
      <c r="AN287">
        <v>1.6500000000000001E-2</v>
      </c>
      <c r="AO287">
        <v>1.66E-2</v>
      </c>
      <c r="AP287" s="1">
        <v>1.4E-2</v>
      </c>
      <c r="AQ287" s="1">
        <v>-7.7000000000000002E-3</v>
      </c>
      <c r="AR287" s="1">
        <f t="shared" si="92"/>
        <v>0.55000000000000004</v>
      </c>
      <c r="AT287" s="14">
        <f t="shared" si="87"/>
        <v>2.6908158574004523E-3</v>
      </c>
      <c r="AU287" s="9">
        <f t="shared" si="93"/>
        <v>-7.2727272727273968E-3</v>
      </c>
    </row>
    <row r="288" spans="1:47" x14ac:dyDescent="0.35">
      <c r="A288" s="17" t="s">
        <v>9</v>
      </c>
      <c r="B288">
        <v>0.1</v>
      </c>
      <c r="C288">
        <v>0.9</v>
      </c>
      <c r="D288">
        <v>6.9899999999999997E-3</v>
      </c>
      <c r="E288">
        <v>7.43E-3</v>
      </c>
      <c r="F288" s="1">
        <v>6.3E-2</v>
      </c>
      <c r="G288" s="1">
        <v>-6.2899999999999998E-2</v>
      </c>
      <c r="H288" s="1">
        <f t="shared" si="88"/>
        <v>0.99841269841269842</v>
      </c>
      <c r="J288" t="s">
        <v>9</v>
      </c>
      <c r="K288">
        <v>0.1</v>
      </c>
      <c r="L288">
        <v>0.9</v>
      </c>
      <c r="M288">
        <v>6.9899999999999997E-3</v>
      </c>
      <c r="N288">
        <v>7.45E-3</v>
      </c>
      <c r="O288" s="1">
        <v>6.3E-2</v>
      </c>
      <c r="P288" s="1">
        <v>-6.6199999999999995E-2</v>
      </c>
      <c r="Q288" s="1">
        <f t="shared" si="89"/>
        <v>1.0507936507936506</v>
      </c>
      <c r="S288" t="s">
        <v>9</v>
      </c>
      <c r="T288">
        <v>0.1</v>
      </c>
      <c r="U288">
        <v>0.9</v>
      </c>
      <c r="V288">
        <v>6.9899999999999997E-3</v>
      </c>
      <c r="W288">
        <v>7.4200000000000004E-3</v>
      </c>
      <c r="X288" s="1">
        <v>6.3E-2</v>
      </c>
      <c r="Y288" s="1">
        <v>-6.0900000000000003E-2</v>
      </c>
      <c r="Z288" s="1">
        <f t="shared" si="90"/>
        <v>0.96666666666666667</v>
      </c>
      <c r="AB288" t="s">
        <v>9</v>
      </c>
      <c r="AC288">
        <v>0.1</v>
      </c>
      <c r="AD288">
        <v>0.9</v>
      </c>
      <c r="AE288">
        <v>6.9899999999999997E-3</v>
      </c>
      <c r="AF288">
        <v>7.4400000000000004E-3</v>
      </c>
      <c r="AG288" s="1">
        <v>6.3E-2</v>
      </c>
      <c r="AH288" s="1">
        <v>-6.3799999999999996E-2</v>
      </c>
      <c r="AI288" s="1">
        <f t="shared" si="91"/>
        <v>1.0126984126984127</v>
      </c>
      <c r="AK288" t="s">
        <v>9</v>
      </c>
      <c r="AL288">
        <v>0.1</v>
      </c>
      <c r="AM288">
        <v>0.9</v>
      </c>
      <c r="AN288">
        <v>6.9899999999999997E-3</v>
      </c>
      <c r="AO288">
        <v>7.4200000000000004E-3</v>
      </c>
      <c r="AP288" s="1">
        <v>6.3E-2</v>
      </c>
      <c r="AQ288" s="1">
        <v>-6.1199999999999997E-2</v>
      </c>
      <c r="AR288" s="1">
        <f t="shared" si="92"/>
        <v>0.97142857142857142</v>
      </c>
      <c r="AT288" s="12">
        <f t="shared" si="87"/>
        <v>1.7543601736282563E-3</v>
      </c>
      <c r="AU288" s="7">
        <f t="shared" si="93"/>
        <v>-6.3233190271816841E-2</v>
      </c>
    </row>
    <row r="289" spans="1:54" x14ac:dyDescent="0.35">
      <c r="A289" s="17" t="s">
        <v>9</v>
      </c>
      <c r="B289">
        <v>0.5</v>
      </c>
      <c r="C289">
        <v>0.9</v>
      </c>
      <c r="D289">
        <v>3.29E-3</v>
      </c>
      <c r="E289">
        <v>3.3600000000000001E-3</v>
      </c>
      <c r="F289" s="1">
        <v>5.5E-2</v>
      </c>
      <c r="G289" s="1">
        <v>-2.0199999999999999E-2</v>
      </c>
      <c r="H289" s="1">
        <f t="shared" si="88"/>
        <v>0.36727272727272725</v>
      </c>
      <c r="J289" t="s">
        <v>9</v>
      </c>
      <c r="K289">
        <v>0.5</v>
      </c>
      <c r="L289">
        <v>0.9</v>
      </c>
      <c r="M289">
        <v>3.29E-3</v>
      </c>
      <c r="N289">
        <v>3.3400000000000001E-3</v>
      </c>
      <c r="O289" s="1">
        <v>5.5E-2</v>
      </c>
      <c r="P289" s="1">
        <v>-1.43E-2</v>
      </c>
      <c r="Q289" s="1">
        <f t="shared" si="89"/>
        <v>0.26</v>
      </c>
      <c r="S289" t="s">
        <v>9</v>
      </c>
      <c r="T289">
        <v>0.5</v>
      </c>
      <c r="U289">
        <v>0.9</v>
      </c>
      <c r="V289">
        <v>3.29E-3</v>
      </c>
      <c r="W289">
        <v>3.32E-3</v>
      </c>
      <c r="X289" s="1">
        <v>5.5E-2</v>
      </c>
      <c r="Y289" s="1">
        <v>-1.03E-2</v>
      </c>
      <c r="Z289" s="1">
        <f t="shared" si="90"/>
        <v>0.18727272727272729</v>
      </c>
      <c r="AB289" t="s">
        <v>9</v>
      </c>
      <c r="AC289">
        <v>0.5</v>
      </c>
      <c r="AD289">
        <v>0.9</v>
      </c>
      <c r="AE289">
        <v>3.29E-3</v>
      </c>
      <c r="AF289">
        <v>3.3500000000000001E-3</v>
      </c>
      <c r="AG289" s="1">
        <v>5.5E-2</v>
      </c>
      <c r="AH289" s="1">
        <v>-1.9400000000000001E-2</v>
      </c>
      <c r="AI289" s="1">
        <f t="shared" si="91"/>
        <v>0.35272727272727272</v>
      </c>
      <c r="AK289" t="s">
        <v>9</v>
      </c>
      <c r="AL289">
        <v>0.5</v>
      </c>
      <c r="AM289">
        <v>0.9</v>
      </c>
      <c r="AN289">
        <v>3.29E-3</v>
      </c>
      <c r="AO289">
        <v>3.3400000000000001E-3</v>
      </c>
      <c r="AP289" s="1">
        <v>5.5E-2</v>
      </c>
      <c r="AQ289" s="1">
        <v>-1.55E-2</v>
      </c>
      <c r="AR289" s="1">
        <f t="shared" si="92"/>
        <v>0.2818181818181818</v>
      </c>
      <c r="AT289" s="12">
        <f t="shared" si="87"/>
        <v>4.4381798247131541E-3</v>
      </c>
      <c r="AU289" s="7">
        <f t="shared" si="93"/>
        <v>-1.580547112462018E-2</v>
      </c>
    </row>
    <row r="290" spans="1:54" x14ac:dyDescent="0.35">
      <c r="A290" s="17" t="s">
        <v>9</v>
      </c>
      <c r="B290">
        <v>1</v>
      </c>
      <c r="C290">
        <v>0.9</v>
      </c>
      <c r="D290">
        <v>1.2099999999999999E-3</v>
      </c>
      <c r="E290">
        <v>1.1900000000000001E-3</v>
      </c>
      <c r="F290" s="1">
        <v>0.109</v>
      </c>
      <c r="G290" s="1">
        <v>1.6199999999999999E-2</v>
      </c>
      <c r="H290" s="1">
        <f t="shared" si="88"/>
        <v>0.14862385321100915</v>
      </c>
      <c r="J290" t="s">
        <v>9</v>
      </c>
      <c r="K290">
        <v>1</v>
      </c>
      <c r="L290">
        <v>0.9</v>
      </c>
      <c r="M290">
        <v>1.2099999999999999E-3</v>
      </c>
      <c r="N290">
        <v>1.1900000000000001E-3</v>
      </c>
      <c r="O290" s="1">
        <v>0.109</v>
      </c>
      <c r="P290" s="1">
        <v>1.2800000000000001E-2</v>
      </c>
      <c r="Q290" s="1">
        <f t="shared" si="89"/>
        <v>0.11743119266055047</v>
      </c>
      <c r="S290" t="s">
        <v>9</v>
      </c>
      <c r="T290">
        <v>1</v>
      </c>
      <c r="U290">
        <v>0.9</v>
      </c>
      <c r="V290">
        <v>1.2099999999999999E-3</v>
      </c>
      <c r="W290">
        <v>1.1800000000000001E-3</v>
      </c>
      <c r="X290" s="1">
        <v>0.109</v>
      </c>
      <c r="Y290" s="1">
        <v>2.0799999999999999E-2</v>
      </c>
      <c r="Z290" s="1">
        <f t="shared" si="90"/>
        <v>0.19082568807339448</v>
      </c>
      <c r="AB290" t="s">
        <v>9</v>
      </c>
      <c r="AC290">
        <v>1</v>
      </c>
      <c r="AD290">
        <v>0.9</v>
      </c>
      <c r="AE290">
        <v>1.2099999999999999E-3</v>
      </c>
      <c r="AF290">
        <v>1.1800000000000001E-3</v>
      </c>
      <c r="AG290" s="1">
        <v>0.109</v>
      </c>
      <c r="AH290" s="1">
        <v>2.3300000000000001E-2</v>
      </c>
      <c r="AI290" s="1">
        <f t="shared" si="91"/>
        <v>0.21376146788990827</v>
      </c>
      <c r="AK290" t="s">
        <v>9</v>
      </c>
      <c r="AL290">
        <v>1</v>
      </c>
      <c r="AM290">
        <v>0.9</v>
      </c>
      <c r="AN290">
        <v>1.2099999999999999E-3</v>
      </c>
      <c r="AO290">
        <v>1.1900000000000001E-3</v>
      </c>
      <c r="AP290" s="1">
        <v>0.109</v>
      </c>
      <c r="AQ290" s="1">
        <v>1.55E-2</v>
      </c>
      <c r="AR290" s="1">
        <f t="shared" si="92"/>
        <v>0.14220183486238533</v>
      </c>
      <c r="AT290" s="12">
        <f>STDEV(AO290,AF290,W290,N290,E290)/ AVERAGE(AO290,AF290,W290,N290,E290)</f>
        <v>4.6182340430452572E-3</v>
      </c>
      <c r="AU290" s="7">
        <f t="shared" si="93"/>
        <v>1.9834710743801599E-2</v>
      </c>
    </row>
    <row r="291" spans="1:54" x14ac:dyDescent="0.35">
      <c r="AT291" s="15"/>
      <c r="AU291"/>
    </row>
    <row r="292" spans="1:54" x14ac:dyDescent="0.35">
      <c r="A292" s="6" t="s">
        <v>24</v>
      </c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AN292" s="6" t="s">
        <v>24</v>
      </c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</row>
    <row r="293" spans="1:54" x14ac:dyDescent="0.35">
      <c r="A293" s="17" t="s">
        <v>0</v>
      </c>
      <c r="B293" t="s">
        <v>1</v>
      </c>
      <c r="C293" t="s">
        <v>2</v>
      </c>
      <c r="D293" t="s">
        <v>3</v>
      </c>
      <c r="E293" t="s">
        <v>4</v>
      </c>
      <c r="F293" t="s">
        <v>5</v>
      </c>
      <c r="G293" t="s">
        <v>6</v>
      </c>
      <c r="J293" t="s">
        <v>0</v>
      </c>
      <c r="K293" t="s">
        <v>1</v>
      </c>
      <c r="L293" t="s">
        <v>2</v>
      </c>
      <c r="M293" t="s">
        <v>3</v>
      </c>
      <c r="N293" t="s">
        <v>4</v>
      </c>
      <c r="O293" t="s">
        <v>5</v>
      </c>
      <c r="P293" t="s">
        <v>6</v>
      </c>
      <c r="S293" t="s">
        <v>0</v>
      </c>
      <c r="T293" t="s">
        <v>1</v>
      </c>
      <c r="U293" t="s">
        <v>2</v>
      </c>
      <c r="V293" t="s">
        <v>3</v>
      </c>
      <c r="W293" t="s">
        <v>4</v>
      </c>
      <c r="X293" t="s">
        <v>5</v>
      </c>
      <c r="Y293" t="s">
        <v>6</v>
      </c>
    </row>
    <row r="294" spans="1:54" x14ac:dyDescent="0.35">
      <c r="A294" s="17" t="s">
        <v>7</v>
      </c>
      <c r="B294">
        <v>0.8</v>
      </c>
      <c r="C294">
        <v>0.2</v>
      </c>
      <c r="D294">
        <v>0.16200000000000001</v>
      </c>
      <c r="E294" s="11">
        <v>0.16200000000000001</v>
      </c>
      <c r="F294" s="1">
        <v>0</v>
      </c>
      <c r="G294" s="1">
        <v>6.9999999999999999E-4</v>
      </c>
      <c r="H294" s="1" t="e">
        <f>ABS(G294/F294)</f>
        <v>#DIV/0!</v>
      </c>
      <c r="J294" t="s">
        <v>7</v>
      </c>
      <c r="K294">
        <v>0.8</v>
      </c>
      <c r="L294">
        <v>0.2</v>
      </c>
      <c r="M294">
        <v>0.16200000000000001</v>
      </c>
      <c r="N294">
        <v>0.16200000000000001</v>
      </c>
      <c r="O294" s="1">
        <v>0</v>
      </c>
      <c r="P294" s="1">
        <v>6.9999999999999999E-4</v>
      </c>
      <c r="Q294" s="1" t="e">
        <f>ABS(P294/O294)</f>
        <v>#DIV/0!</v>
      </c>
      <c r="S294" t="s">
        <v>7</v>
      </c>
      <c r="T294">
        <v>0.8</v>
      </c>
      <c r="U294">
        <v>0.2</v>
      </c>
      <c r="V294">
        <v>0.16200000000000001</v>
      </c>
      <c r="W294">
        <v>0.16200000000000001</v>
      </c>
      <c r="X294" s="1">
        <v>0</v>
      </c>
      <c r="Y294" s="1">
        <v>5.9999999999999995E-4</v>
      </c>
      <c r="Z294" s="1" t="e">
        <f>ABS(Y294/X294)</f>
        <v>#DIV/0!</v>
      </c>
      <c r="AQ294" s="10"/>
      <c r="AR294" s="5"/>
      <c r="AS294" s="7"/>
      <c r="AT294" s="13">
        <f t="shared" ref="AT294:AT310" si="94">STDEV(AO294,AF294,W294,N294,E294)/ AVERAGE(AO294,AF294,W294,N294,E294)</f>
        <v>0</v>
      </c>
      <c r="AU294" s="8">
        <f>( D294 - AVERAGE(AO294,AF294,W294,N294,E294))/ D294</f>
        <v>0</v>
      </c>
    </row>
    <row r="295" spans="1:54" x14ac:dyDescent="0.35">
      <c r="A295" s="17" t="s">
        <v>7</v>
      </c>
      <c r="B295">
        <v>4</v>
      </c>
      <c r="C295">
        <v>0.2</v>
      </c>
      <c r="D295">
        <v>2.2699999999999999E-3</v>
      </c>
      <c r="E295" s="11">
        <v>2.2599999999999999E-3</v>
      </c>
      <c r="F295" s="1">
        <v>2E-3</v>
      </c>
      <c r="G295" s="1">
        <v>3.5000000000000001E-3</v>
      </c>
      <c r="H295" s="1">
        <f t="shared" ref="H295:H311" si="95">ABS(G295/F295)</f>
        <v>1.75</v>
      </c>
      <c r="J295" t="s">
        <v>7</v>
      </c>
      <c r="K295">
        <v>4</v>
      </c>
      <c r="L295">
        <v>0.2</v>
      </c>
      <c r="M295">
        <v>2.2699999999999999E-3</v>
      </c>
      <c r="N295">
        <v>2.2699999999999999E-3</v>
      </c>
      <c r="O295" s="1">
        <v>2E-3</v>
      </c>
      <c r="P295" s="1">
        <v>1.8E-3</v>
      </c>
      <c r="Q295" s="1">
        <f t="shared" ref="Q295:Q311" si="96">ABS(P295/O295)</f>
        <v>0.89999999999999991</v>
      </c>
      <c r="S295" t="s">
        <v>7</v>
      </c>
      <c r="T295">
        <v>4</v>
      </c>
      <c r="U295">
        <v>0.2</v>
      </c>
      <c r="V295">
        <v>2.2699999999999999E-3</v>
      </c>
      <c r="W295">
        <v>2.2599999999999999E-3</v>
      </c>
      <c r="X295" s="1">
        <v>2E-3</v>
      </c>
      <c r="Y295" s="1">
        <v>3.8999999999999998E-3</v>
      </c>
      <c r="Z295" s="1">
        <f t="shared" ref="Z295:Z311" si="97">ABS(Y295/X295)</f>
        <v>1.95</v>
      </c>
      <c r="AQ295" s="10"/>
      <c r="AR295" s="5"/>
      <c r="AS295" s="7"/>
      <c r="AT295" s="13">
        <f t="shared" si="94"/>
        <v>2.5508848417803861E-3</v>
      </c>
      <c r="AU295" s="8">
        <f t="shared" ref="AU295:AU311" si="98">( D295 - AVERAGE(AO295,AF295,W295,N295,E295))/ D295</f>
        <v>2.9368575624083583E-3</v>
      </c>
    </row>
    <row r="296" spans="1:54" x14ac:dyDescent="0.35">
      <c r="A296" s="17" t="s">
        <v>7</v>
      </c>
      <c r="B296">
        <v>8</v>
      </c>
      <c r="C296">
        <v>0.2</v>
      </c>
      <c r="D296">
        <v>1.2999999999999999E-5</v>
      </c>
      <c r="E296" s="11">
        <v>1.31E-5</v>
      </c>
      <c r="F296" s="1">
        <v>4.7E-2</v>
      </c>
      <c r="G296" s="1">
        <v>-1.0800000000000001E-2</v>
      </c>
      <c r="H296" s="1">
        <f t="shared" si="95"/>
        <v>0.22978723404255319</v>
      </c>
      <c r="J296" t="s">
        <v>7</v>
      </c>
      <c r="K296">
        <v>8</v>
      </c>
      <c r="L296">
        <v>0.2</v>
      </c>
      <c r="M296">
        <v>1.2999999999999999E-5</v>
      </c>
      <c r="N296">
        <v>1.31E-5</v>
      </c>
      <c r="O296" s="1">
        <v>4.7E-2</v>
      </c>
      <c r="P296" s="1">
        <v>-1.0800000000000001E-2</v>
      </c>
      <c r="Q296" s="1">
        <f t="shared" si="96"/>
        <v>0.22978723404255319</v>
      </c>
      <c r="S296" t="s">
        <v>7</v>
      </c>
      <c r="T296">
        <v>8</v>
      </c>
      <c r="U296">
        <v>0.2</v>
      </c>
      <c r="V296">
        <v>1.2999999999999999E-5</v>
      </c>
      <c r="W296">
        <v>1.31E-5</v>
      </c>
      <c r="X296" s="1">
        <v>4.7E-2</v>
      </c>
      <c r="Y296" s="1">
        <v>-6.1999999999999998E-3</v>
      </c>
      <c r="Z296" s="1">
        <f t="shared" si="97"/>
        <v>0.13191489361702127</v>
      </c>
      <c r="AQ296" s="10"/>
      <c r="AR296" s="5"/>
      <c r="AS296" s="7"/>
      <c r="AT296" s="13">
        <f t="shared" si="94"/>
        <v>0</v>
      </c>
      <c r="AU296" s="8">
        <f t="shared" si="98"/>
        <v>-7.6923076923077491E-3</v>
      </c>
    </row>
    <row r="297" spans="1:54" x14ac:dyDescent="0.35">
      <c r="A297" s="17" t="s">
        <v>8</v>
      </c>
      <c r="B297">
        <v>0.8</v>
      </c>
      <c r="C297">
        <v>0.2</v>
      </c>
      <c r="D297">
        <v>9.6599999999999995E-4</v>
      </c>
      <c r="E297" s="11">
        <v>1.0200000000000001E-3</v>
      </c>
      <c r="F297" s="1">
        <v>2.3E-2</v>
      </c>
      <c r="G297" s="1">
        <v>-5.8999999999999997E-2</v>
      </c>
      <c r="H297" s="1">
        <f t="shared" si="95"/>
        <v>2.5652173913043477</v>
      </c>
      <c r="J297" t="s">
        <v>8</v>
      </c>
      <c r="K297">
        <v>0.8</v>
      </c>
      <c r="L297">
        <v>0.2</v>
      </c>
      <c r="M297">
        <v>9.6599999999999995E-4</v>
      </c>
      <c r="N297">
        <v>1.0200000000000001E-3</v>
      </c>
      <c r="O297" s="1">
        <v>2.3E-2</v>
      </c>
      <c r="P297" s="1">
        <v>-5.5800000000000002E-2</v>
      </c>
      <c r="Q297" s="1">
        <f t="shared" si="96"/>
        <v>2.4260869565217393</v>
      </c>
      <c r="S297" t="s">
        <v>8</v>
      </c>
      <c r="T297">
        <v>0.8</v>
      </c>
      <c r="U297">
        <v>0.2</v>
      </c>
      <c r="V297">
        <v>9.6599999999999995E-4</v>
      </c>
      <c r="W297">
        <v>1.0200000000000001E-3</v>
      </c>
      <c r="X297" s="1">
        <v>2.3E-2</v>
      </c>
      <c r="Y297" s="1">
        <v>-5.9900000000000002E-2</v>
      </c>
      <c r="Z297" s="1">
        <f t="shared" si="97"/>
        <v>2.6043478260869568</v>
      </c>
      <c r="AQ297" s="10"/>
      <c r="AR297" s="5"/>
      <c r="AS297" s="7"/>
      <c r="AT297" s="14">
        <f t="shared" si="94"/>
        <v>0</v>
      </c>
      <c r="AU297" s="9">
        <f t="shared" si="98"/>
        <v>-5.5900621118012549E-2</v>
      </c>
    </row>
    <row r="298" spans="1:54" x14ac:dyDescent="0.35">
      <c r="A298" s="17" t="s">
        <v>8</v>
      </c>
      <c r="B298">
        <v>4</v>
      </c>
      <c r="C298">
        <v>0.2</v>
      </c>
      <c r="D298">
        <v>1.3699999999999999E-5</v>
      </c>
      <c r="E298" s="11">
        <v>1.42E-5</v>
      </c>
      <c r="F298" s="1">
        <v>6.3E-2</v>
      </c>
      <c r="G298" s="1">
        <v>-3.5799999999999998E-2</v>
      </c>
      <c r="H298" s="1">
        <f t="shared" si="95"/>
        <v>0.56825396825396823</v>
      </c>
      <c r="J298" t="s">
        <v>8</v>
      </c>
      <c r="K298">
        <v>4</v>
      </c>
      <c r="L298">
        <v>0.2</v>
      </c>
      <c r="M298">
        <v>1.3699999999999999E-5</v>
      </c>
      <c r="N298">
        <v>1.38E-5</v>
      </c>
      <c r="O298" s="1">
        <v>6.3E-2</v>
      </c>
      <c r="P298" s="1">
        <v>-9.4999999999999998E-3</v>
      </c>
      <c r="Q298" s="1">
        <f t="shared" si="96"/>
        <v>0.15079365079365079</v>
      </c>
      <c r="S298" t="s">
        <v>8</v>
      </c>
      <c r="T298">
        <v>4</v>
      </c>
      <c r="U298">
        <v>0.2</v>
      </c>
      <c r="V298">
        <v>1.3699999999999999E-5</v>
      </c>
      <c r="W298">
        <v>1.3699999999999999E-5</v>
      </c>
      <c r="X298" s="1">
        <v>6.3E-2</v>
      </c>
      <c r="Y298" s="1">
        <v>-1.5E-3</v>
      </c>
      <c r="Z298" s="1">
        <f t="shared" si="97"/>
        <v>2.3809523809523808E-2</v>
      </c>
      <c r="AQ298" s="10"/>
      <c r="AR298" s="5"/>
      <c r="AS298" s="7"/>
      <c r="AT298" s="14">
        <f t="shared" si="94"/>
        <v>1.9034182093989865E-2</v>
      </c>
      <c r="AU298" s="9">
        <f t="shared" si="98"/>
        <v>-1.4598540145985385E-2</v>
      </c>
    </row>
    <row r="299" spans="1:54" x14ac:dyDescent="0.35">
      <c r="A299" s="17" t="s">
        <v>8</v>
      </c>
      <c r="B299">
        <v>8</v>
      </c>
      <c r="C299">
        <v>0.2</v>
      </c>
      <c r="D299">
        <v>7.2800000000000003E-8</v>
      </c>
      <c r="E299" s="11">
        <v>1.1000000000000001E-7</v>
      </c>
      <c r="F299" s="1">
        <v>0.187</v>
      </c>
      <c r="G299" s="1">
        <v>-0.51100000000000001</v>
      </c>
      <c r="H299" s="1">
        <f t="shared" si="95"/>
        <v>2.7326203208556152</v>
      </c>
      <c r="J299" t="s">
        <v>8</v>
      </c>
      <c r="K299">
        <v>8</v>
      </c>
      <c r="L299">
        <v>0.2</v>
      </c>
      <c r="M299">
        <v>7.2800000000000003E-8</v>
      </c>
      <c r="N299">
        <v>8.9999999999999999E-8</v>
      </c>
      <c r="O299" s="1">
        <v>0.187</v>
      </c>
      <c r="P299" s="1">
        <v>-0.23630000000000001</v>
      </c>
      <c r="Q299" s="1">
        <f t="shared" si="96"/>
        <v>1.2636363636363637</v>
      </c>
      <c r="S299" t="s">
        <v>8</v>
      </c>
      <c r="T299">
        <v>8</v>
      </c>
      <c r="U299">
        <v>0.2</v>
      </c>
      <c r="V299">
        <v>7.2800000000000003E-8</v>
      </c>
      <c r="W299">
        <v>8.9999999999999999E-8</v>
      </c>
      <c r="X299" s="1">
        <v>0.187</v>
      </c>
      <c r="Y299" s="1">
        <v>-0.23630000000000001</v>
      </c>
      <c r="Z299" s="1">
        <f t="shared" si="97"/>
        <v>1.2636363636363637</v>
      </c>
      <c r="AQ299" s="10"/>
      <c r="AR299" s="5"/>
      <c r="AS299" s="7"/>
      <c r="AT299" s="14">
        <f t="shared" si="94"/>
        <v>0.11945177983233643</v>
      </c>
      <c r="AU299" s="9">
        <f t="shared" si="98"/>
        <v>-0.32783882783882767</v>
      </c>
    </row>
    <row r="300" spans="1:54" x14ac:dyDescent="0.35">
      <c r="A300" s="17" t="s">
        <v>9</v>
      </c>
      <c r="B300">
        <v>0.8</v>
      </c>
      <c r="C300">
        <v>0.2</v>
      </c>
      <c r="D300">
        <v>5.4700000000000001E-5</v>
      </c>
      <c r="E300" s="11">
        <v>5.5500000000000001E-5</v>
      </c>
      <c r="F300" s="1">
        <v>0.06</v>
      </c>
      <c r="G300" s="1">
        <v>-1.43E-2</v>
      </c>
      <c r="H300" s="1">
        <f t="shared" si="95"/>
        <v>0.23833333333333334</v>
      </c>
      <c r="J300" t="s">
        <v>9</v>
      </c>
      <c r="K300">
        <v>0.8</v>
      </c>
      <c r="L300">
        <v>0.2</v>
      </c>
      <c r="M300">
        <v>5.4700000000000001E-5</v>
      </c>
      <c r="N300">
        <v>5.5500000000000001E-5</v>
      </c>
      <c r="O300" s="1">
        <v>0.06</v>
      </c>
      <c r="P300" s="1">
        <v>-1.52E-2</v>
      </c>
      <c r="Q300" s="1">
        <f t="shared" si="96"/>
        <v>0.25333333333333335</v>
      </c>
      <c r="S300" t="s">
        <v>9</v>
      </c>
      <c r="T300">
        <v>0.8</v>
      </c>
      <c r="U300">
        <v>0.2</v>
      </c>
      <c r="V300">
        <v>5.4700000000000001E-5</v>
      </c>
      <c r="W300">
        <v>5.5600000000000003E-5</v>
      </c>
      <c r="X300" s="1">
        <v>0.06</v>
      </c>
      <c r="Y300" s="1">
        <v>-1.72E-2</v>
      </c>
      <c r="Z300" s="1">
        <f t="shared" si="97"/>
        <v>0.28666666666666668</v>
      </c>
      <c r="AQ300" s="10"/>
      <c r="AR300" s="5"/>
      <c r="AS300" s="7"/>
      <c r="AT300" s="12">
        <f t="shared" si="94"/>
        <v>1.0396463430785829E-3</v>
      </c>
      <c r="AU300" s="7">
        <f t="shared" si="98"/>
        <v>-1.5234613040828843E-2</v>
      </c>
    </row>
    <row r="301" spans="1:54" x14ac:dyDescent="0.35">
      <c r="A301" s="17" t="s">
        <v>9</v>
      </c>
      <c r="B301">
        <v>4</v>
      </c>
      <c r="C301">
        <v>0.2</v>
      </c>
      <c r="D301">
        <v>6.2399999999999998E-7</v>
      </c>
      <c r="E301" s="11">
        <v>7.8999999999999995E-7</v>
      </c>
      <c r="F301" s="1">
        <v>0.35499999999999998</v>
      </c>
      <c r="G301" s="1">
        <v>-0.26600000000000001</v>
      </c>
      <c r="H301" s="1">
        <f t="shared" si="95"/>
        <v>0.74929577464788744</v>
      </c>
      <c r="J301" t="s">
        <v>9</v>
      </c>
      <c r="K301">
        <v>4</v>
      </c>
      <c r="L301">
        <v>0.2</v>
      </c>
      <c r="M301">
        <v>6.2399999999999998E-7</v>
      </c>
      <c r="N301">
        <v>6.3E-7</v>
      </c>
      <c r="O301" s="1">
        <v>0.35499999999999998</v>
      </c>
      <c r="P301" s="1">
        <v>-9.5999999999999992E-3</v>
      </c>
      <c r="Q301" s="1">
        <f t="shared" si="96"/>
        <v>2.7042253521126759E-2</v>
      </c>
      <c r="S301" t="s">
        <v>9</v>
      </c>
      <c r="T301">
        <v>4</v>
      </c>
      <c r="U301">
        <v>0.2</v>
      </c>
      <c r="V301">
        <v>6.2399999999999998E-7</v>
      </c>
      <c r="W301">
        <v>1.02E-6</v>
      </c>
      <c r="X301" s="1">
        <v>0.35499999999999998</v>
      </c>
      <c r="Y301" s="1">
        <v>-0.63460000000000005</v>
      </c>
      <c r="Z301" s="1">
        <f t="shared" si="97"/>
        <v>1.7876056338028172</v>
      </c>
      <c r="AQ301" s="10"/>
      <c r="AR301" s="5"/>
      <c r="AS301" s="7"/>
      <c r="AT301" s="12">
        <f t="shared" si="94"/>
        <v>0.24103796643496084</v>
      </c>
      <c r="AU301" s="7">
        <f t="shared" si="98"/>
        <v>-0.30341880341880345</v>
      </c>
    </row>
    <row r="302" spans="1:54" x14ac:dyDescent="0.35">
      <c r="A302" s="17" t="s">
        <v>9</v>
      </c>
      <c r="B302">
        <v>8</v>
      </c>
      <c r="C302">
        <v>0.2</v>
      </c>
      <c r="D302">
        <v>4.0199999999999998E-9</v>
      </c>
      <c r="E302" s="11">
        <v>2.9999999999999997E-8</v>
      </c>
      <c r="F302" s="1">
        <v>0.248</v>
      </c>
      <c r="G302" s="1">
        <v>-6.4626999999999999</v>
      </c>
      <c r="H302" s="1">
        <f t="shared" si="95"/>
        <v>26.059274193548386</v>
      </c>
      <c r="J302" t="s">
        <v>9</v>
      </c>
      <c r="K302">
        <v>8</v>
      </c>
      <c r="L302">
        <v>0.2</v>
      </c>
      <c r="M302">
        <v>4.0199999999999998E-9</v>
      </c>
      <c r="N302">
        <v>0</v>
      </c>
      <c r="O302" s="1">
        <v>0.248</v>
      </c>
      <c r="P302" s="1">
        <v>1</v>
      </c>
      <c r="Q302" s="1">
        <f t="shared" si="96"/>
        <v>4.032258064516129</v>
      </c>
      <c r="S302" t="s">
        <v>9</v>
      </c>
      <c r="T302">
        <v>8</v>
      </c>
      <c r="U302">
        <v>0.2</v>
      </c>
      <c r="V302">
        <v>4.0199999999999998E-9</v>
      </c>
      <c r="W302">
        <v>0</v>
      </c>
      <c r="X302" s="1">
        <v>0.248</v>
      </c>
      <c r="Y302" s="1">
        <v>1</v>
      </c>
      <c r="Z302" s="1">
        <f t="shared" si="97"/>
        <v>4.032258064516129</v>
      </c>
      <c r="AQ302" s="10"/>
      <c r="AR302" s="5"/>
      <c r="AS302" s="7"/>
      <c r="AT302" s="12">
        <f t="shared" si="94"/>
        <v>1.7320508075688774</v>
      </c>
      <c r="AU302" s="7">
        <f t="shared" si="98"/>
        <v>-1.4875621890547261</v>
      </c>
    </row>
    <row r="303" spans="1:54" x14ac:dyDescent="0.35">
      <c r="A303" s="17" t="s">
        <v>7</v>
      </c>
      <c r="B303">
        <v>0.1</v>
      </c>
      <c r="C303">
        <v>0.9</v>
      </c>
      <c r="D303">
        <v>0.41299999999999998</v>
      </c>
      <c r="E303" s="11">
        <v>0.41399999999999998</v>
      </c>
      <c r="F303" s="1">
        <v>1E-3</v>
      </c>
      <c r="G303" s="1">
        <v>-1.5E-3</v>
      </c>
      <c r="H303" s="1">
        <f t="shared" si="95"/>
        <v>1.5</v>
      </c>
      <c r="J303" t="s">
        <v>7</v>
      </c>
      <c r="K303">
        <v>0.1</v>
      </c>
      <c r="L303">
        <v>0.9</v>
      </c>
      <c r="M303">
        <v>0.41299999999999998</v>
      </c>
      <c r="N303">
        <v>0.41399999999999998</v>
      </c>
      <c r="O303" s="1">
        <v>1E-3</v>
      </c>
      <c r="P303" s="1">
        <v>-1.5E-3</v>
      </c>
      <c r="Q303" s="1">
        <f t="shared" si="96"/>
        <v>1.5</v>
      </c>
      <c r="S303" t="s">
        <v>7</v>
      </c>
      <c r="T303">
        <v>0.1</v>
      </c>
      <c r="U303">
        <v>0.9</v>
      </c>
      <c r="V303">
        <v>0.41299999999999998</v>
      </c>
      <c r="W303">
        <v>0.41399999999999998</v>
      </c>
      <c r="X303" s="1">
        <v>1E-3</v>
      </c>
      <c r="Y303" s="1">
        <v>-1.4E-3</v>
      </c>
      <c r="Z303" s="1">
        <f t="shared" si="97"/>
        <v>1.4</v>
      </c>
      <c r="AQ303" s="10"/>
      <c r="AR303" s="5"/>
      <c r="AS303" s="7"/>
      <c r="AT303" s="13">
        <f t="shared" si="94"/>
        <v>0</v>
      </c>
      <c r="AU303" s="8">
        <f t="shared" si="98"/>
        <v>-2.421307506053271E-3</v>
      </c>
    </row>
    <row r="304" spans="1:54" x14ac:dyDescent="0.35">
      <c r="A304" s="17" t="s">
        <v>7</v>
      </c>
      <c r="B304">
        <v>0.5</v>
      </c>
      <c r="C304">
        <v>0.9</v>
      </c>
      <c r="D304">
        <v>0.187</v>
      </c>
      <c r="E304" s="11">
        <v>0.184</v>
      </c>
      <c r="F304" s="1">
        <v>5.0000000000000001E-3</v>
      </c>
      <c r="G304" s="1">
        <v>1.66E-2</v>
      </c>
      <c r="H304" s="1">
        <f t="shared" si="95"/>
        <v>3.32</v>
      </c>
      <c r="J304" t="s">
        <v>7</v>
      </c>
      <c r="K304">
        <v>0.5</v>
      </c>
      <c r="L304">
        <v>0.9</v>
      </c>
      <c r="M304">
        <v>0.187</v>
      </c>
      <c r="N304">
        <v>0.184</v>
      </c>
      <c r="O304" s="1">
        <v>5.0000000000000001E-3</v>
      </c>
      <c r="P304" s="1">
        <v>1.6500000000000001E-2</v>
      </c>
      <c r="Q304" s="1">
        <f t="shared" si="96"/>
        <v>3.3000000000000003</v>
      </c>
      <c r="S304" t="s">
        <v>7</v>
      </c>
      <c r="T304">
        <v>0.5</v>
      </c>
      <c r="U304">
        <v>0.9</v>
      </c>
      <c r="V304">
        <v>0.187</v>
      </c>
      <c r="W304">
        <v>0.184</v>
      </c>
      <c r="X304" s="1">
        <v>5.0000000000000001E-3</v>
      </c>
      <c r="Y304" s="1">
        <v>1.66E-2</v>
      </c>
      <c r="Z304" s="1">
        <f t="shared" si="97"/>
        <v>3.32</v>
      </c>
      <c r="AQ304" s="10"/>
      <c r="AR304" s="5"/>
      <c r="AS304" s="7"/>
      <c r="AT304" s="13">
        <f t="shared" si="94"/>
        <v>1.8474727656392909E-16</v>
      </c>
      <c r="AU304" s="8">
        <f t="shared" si="98"/>
        <v>1.6042780748662968E-2</v>
      </c>
    </row>
    <row r="305" spans="1:54" x14ac:dyDescent="0.35">
      <c r="A305" s="17" t="s">
        <v>7</v>
      </c>
      <c r="B305">
        <v>1</v>
      </c>
      <c r="C305">
        <v>0.9</v>
      </c>
      <c r="D305">
        <v>6.8500000000000005E-2</v>
      </c>
      <c r="E305" s="11">
        <v>6.6199999999999995E-2</v>
      </c>
      <c r="F305" s="1">
        <v>0.01</v>
      </c>
      <c r="G305" s="1">
        <v>3.3700000000000001E-2</v>
      </c>
      <c r="H305" s="1">
        <f t="shared" si="95"/>
        <v>3.37</v>
      </c>
      <c r="J305" t="s">
        <v>7</v>
      </c>
      <c r="K305">
        <v>1</v>
      </c>
      <c r="L305">
        <v>0.9</v>
      </c>
      <c r="M305">
        <v>6.8500000000000005E-2</v>
      </c>
      <c r="N305">
        <v>6.6199999999999995E-2</v>
      </c>
      <c r="O305" s="1">
        <v>0.01</v>
      </c>
      <c r="P305" s="1">
        <v>3.3799999999999997E-2</v>
      </c>
      <c r="Q305" s="1">
        <f t="shared" si="96"/>
        <v>3.3799999999999994</v>
      </c>
      <c r="S305" t="s">
        <v>7</v>
      </c>
      <c r="T305">
        <v>1</v>
      </c>
      <c r="U305">
        <v>0.9</v>
      </c>
      <c r="V305">
        <v>6.8500000000000005E-2</v>
      </c>
      <c r="W305">
        <v>6.6199999999999995E-2</v>
      </c>
      <c r="X305" s="1">
        <v>0.01</v>
      </c>
      <c r="Y305" s="1">
        <v>3.3799999999999997E-2</v>
      </c>
      <c r="Z305" s="1">
        <f t="shared" si="97"/>
        <v>3.3799999999999994</v>
      </c>
      <c r="AQ305" s="10"/>
      <c r="AR305" s="5"/>
      <c r="AS305" s="7"/>
      <c r="AT305" s="13">
        <f t="shared" si="94"/>
        <v>0</v>
      </c>
      <c r="AU305" s="8">
        <f t="shared" si="98"/>
        <v>3.3576642335766571E-2</v>
      </c>
    </row>
    <row r="306" spans="1:54" x14ac:dyDescent="0.35">
      <c r="A306" s="17" t="s">
        <v>8</v>
      </c>
      <c r="B306">
        <v>0.1</v>
      </c>
      <c r="C306">
        <v>0.9</v>
      </c>
      <c r="D306">
        <v>9.3100000000000002E-2</v>
      </c>
      <c r="E306" s="11">
        <v>9.9099999999999994E-2</v>
      </c>
      <c r="F306" s="1">
        <v>2.1000000000000001E-2</v>
      </c>
      <c r="G306" s="1">
        <v>-6.4000000000000001E-2</v>
      </c>
      <c r="H306" s="1">
        <f t="shared" si="95"/>
        <v>3.0476190476190474</v>
      </c>
      <c r="J306" t="s">
        <v>8</v>
      </c>
      <c r="K306">
        <v>0.1</v>
      </c>
      <c r="L306">
        <v>0.9</v>
      </c>
      <c r="M306">
        <v>9.3100000000000002E-2</v>
      </c>
      <c r="N306">
        <v>9.9000000000000005E-2</v>
      </c>
      <c r="O306" s="1">
        <v>2.1000000000000001E-2</v>
      </c>
      <c r="P306" s="1">
        <v>-6.3399999999999998E-2</v>
      </c>
      <c r="Q306" s="1">
        <f t="shared" si="96"/>
        <v>3.019047619047619</v>
      </c>
      <c r="S306" t="s">
        <v>8</v>
      </c>
      <c r="T306">
        <v>0.1</v>
      </c>
      <c r="U306">
        <v>0.9</v>
      </c>
      <c r="V306">
        <v>9.3100000000000002E-2</v>
      </c>
      <c r="W306">
        <v>9.9000000000000005E-2</v>
      </c>
      <c r="X306" s="1">
        <v>2.1000000000000001E-2</v>
      </c>
      <c r="Y306" s="1">
        <v>-6.3299999999999995E-2</v>
      </c>
      <c r="Z306" s="1">
        <f t="shared" si="97"/>
        <v>3.0142857142857138</v>
      </c>
      <c r="AQ306" s="10"/>
      <c r="AR306" s="5"/>
      <c r="AS306" s="7"/>
      <c r="AT306" s="14">
        <f t="shared" si="94"/>
        <v>5.8298579857579485E-4</v>
      </c>
      <c r="AU306" s="9">
        <f t="shared" si="98"/>
        <v>-6.3730755460078906E-2</v>
      </c>
    </row>
    <row r="307" spans="1:54" x14ac:dyDescent="0.35">
      <c r="A307" s="17" t="s">
        <v>8</v>
      </c>
      <c r="B307">
        <v>0.5</v>
      </c>
      <c r="C307">
        <v>0.9</v>
      </c>
      <c r="D307">
        <v>4.6300000000000001E-2</v>
      </c>
      <c r="E307" s="11">
        <v>4.8000000000000001E-2</v>
      </c>
      <c r="F307" s="1">
        <v>1.7000000000000001E-2</v>
      </c>
      <c r="G307" s="1">
        <v>-3.6600000000000001E-2</v>
      </c>
      <c r="H307" s="1">
        <f t="shared" si="95"/>
        <v>2.1529411764705881</v>
      </c>
      <c r="J307" t="s">
        <v>8</v>
      </c>
      <c r="K307">
        <v>0.5</v>
      </c>
      <c r="L307">
        <v>0.9</v>
      </c>
      <c r="M307">
        <v>4.6300000000000001E-2</v>
      </c>
      <c r="N307">
        <v>4.8000000000000001E-2</v>
      </c>
      <c r="O307" s="1">
        <v>1.7000000000000001E-2</v>
      </c>
      <c r="P307" s="1">
        <v>-3.6900000000000002E-2</v>
      </c>
      <c r="Q307" s="1">
        <f t="shared" si="96"/>
        <v>2.1705882352941175</v>
      </c>
      <c r="S307" t="s">
        <v>8</v>
      </c>
      <c r="T307">
        <v>0.5</v>
      </c>
      <c r="U307">
        <v>0.9</v>
      </c>
      <c r="V307">
        <v>4.6300000000000001E-2</v>
      </c>
      <c r="W307">
        <v>4.8000000000000001E-2</v>
      </c>
      <c r="X307" s="1">
        <v>1.7000000000000001E-2</v>
      </c>
      <c r="Y307" s="1">
        <v>-3.6700000000000003E-2</v>
      </c>
      <c r="Z307" s="1">
        <f t="shared" si="97"/>
        <v>2.1588235294117646</v>
      </c>
      <c r="AQ307" s="10"/>
      <c r="AR307" s="5"/>
      <c r="AS307" s="7"/>
      <c r="AT307" s="14">
        <f t="shared" si="94"/>
        <v>1.7704947337376537E-16</v>
      </c>
      <c r="AU307" s="9">
        <f t="shared" si="98"/>
        <v>-3.6717062634989354E-2</v>
      </c>
    </row>
    <row r="308" spans="1:54" x14ac:dyDescent="0.35">
      <c r="A308" s="17" t="s">
        <v>8</v>
      </c>
      <c r="B308">
        <v>1</v>
      </c>
      <c r="C308">
        <v>0.9</v>
      </c>
      <c r="D308">
        <v>1.6500000000000001E-2</v>
      </c>
      <c r="E308" s="11">
        <v>1.67E-2</v>
      </c>
      <c r="F308" s="1">
        <v>1.4E-2</v>
      </c>
      <c r="G308" s="1">
        <v>-1.0999999999999999E-2</v>
      </c>
      <c r="H308" s="1">
        <f t="shared" si="95"/>
        <v>0.7857142857142857</v>
      </c>
      <c r="J308" t="s">
        <v>8</v>
      </c>
      <c r="K308">
        <v>1</v>
      </c>
      <c r="L308">
        <v>0.9</v>
      </c>
      <c r="M308">
        <v>1.6500000000000001E-2</v>
      </c>
      <c r="N308">
        <v>1.67E-2</v>
      </c>
      <c r="O308" s="1">
        <v>1.4E-2</v>
      </c>
      <c r="P308" s="1">
        <v>-1.04E-2</v>
      </c>
      <c r="Q308" s="1">
        <f t="shared" si="96"/>
        <v>0.74285714285714277</v>
      </c>
      <c r="S308" t="s">
        <v>8</v>
      </c>
      <c r="T308">
        <v>1</v>
      </c>
      <c r="U308">
        <v>0.9</v>
      </c>
      <c r="V308">
        <v>1.6500000000000001E-2</v>
      </c>
      <c r="W308">
        <v>1.67E-2</v>
      </c>
      <c r="X308" s="1">
        <v>1.4E-2</v>
      </c>
      <c r="Y308" s="1">
        <v>-1.0500000000000001E-2</v>
      </c>
      <c r="Z308" s="1">
        <f t="shared" si="97"/>
        <v>0.75</v>
      </c>
      <c r="AQ308" s="10"/>
      <c r="AR308" s="5"/>
      <c r="AS308" s="7"/>
      <c r="AT308" s="14">
        <f t="shared" si="94"/>
        <v>0</v>
      </c>
      <c r="AU308" s="9">
        <f t="shared" si="98"/>
        <v>-1.2121212121212047E-2</v>
      </c>
    </row>
    <row r="309" spans="1:54" x14ac:dyDescent="0.35">
      <c r="A309" s="17" t="s">
        <v>9</v>
      </c>
      <c r="B309">
        <v>0.1</v>
      </c>
      <c r="C309">
        <v>0.9</v>
      </c>
      <c r="D309">
        <v>6.9899999999999997E-3</v>
      </c>
      <c r="E309" s="11">
        <v>7.4000000000000003E-3</v>
      </c>
      <c r="F309" s="1">
        <v>6.3E-2</v>
      </c>
      <c r="G309" s="1">
        <v>-5.91E-2</v>
      </c>
      <c r="H309" s="1">
        <f t="shared" si="95"/>
        <v>0.93809523809523809</v>
      </c>
      <c r="J309" t="s">
        <v>9</v>
      </c>
      <c r="K309">
        <v>0.1</v>
      </c>
      <c r="L309">
        <v>0.9</v>
      </c>
      <c r="M309">
        <v>6.9899999999999997E-3</v>
      </c>
      <c r="N309">
        <v>7.43E-3</v>
      </c>
      <c r="O309" s="1">
        <v>6.3E-2</v>
      </c>
      <c r="P309" s="1">
        <v>-6.2399999999999997E-2</v>
      </c>
      <c r="Q309" s="1">
        <f t="shared" si="96"/>
        <v>0.9904761904761904</v>
      </c>
      <c r="S309" t="s">
        <v>9</v>
      </c>
      <c r="T309">
        <v>0.1</v>
      </c>
      <c r="U309">
        <v>0.9</v>
      </c>
      <c r="V309">
        <v>6.9899999999999997E-3</v>
      </c>
      <c r="W309">
        <v>7.4200000000000004E-3</v>
      </c>
      <c r="X309" s="1">
        <v>6.3E-2</v>
      </c>
      <c r="Y309" s="1">
        <v>-6.2199999999999998E-2</v>
      </c>
      <c r="Z309" s="1">
        <f t="shared" si="97"/>
        <v>0.98730158730158724</v>
      </c>
      <c r="AQ309" s="10"/>
      <c r="AR309" s="5"/>
      <c r="AS309" s="7"/>
      <c r="AT309" s="12">
        <f t="shared" si="94"/>
        <v>2.0595845820026047E-3</v>
      </c>
      <c r="AU309" s="7">
        <f t="shared" si="98"/>
        <v>-6.103958035288503E-2</v>
      </c>
    </row>
    <row r="310" spans="1:54" x14ac:dyDescent="0.35">
      <c r="A310" s="17" t="s">
        <v>9</v>
      </c>
      <c r="B310">
        <v>0.5</v>
      </c>
      <c r="C310">
        <v>0.9</v>
      </c>
      <c r="D310">
        <v>3.29E-3</v>
      </c>
      <c r="E310" s="11">
        <v>3.32E-3</v>
      </c>
      <c r="F310" s="1">
        <v>5.5E-2</v>
      </c>
      <c r="G310" s="1">
        <v>-0.01</v>
      </c>
      <c r="H310" s="1">
        <f t="shared" si="95"/>
        <v>0.18181818181818182</v>
      </c>
      <c r="J310" t="s">
        <v>9</v>
      </c>
      <c r="K310">
        <v>0.5</v>
      </c>
      <c r="L310">
        <v>0.9</v>
      </c>
      <c r="M310">
        <v>3.29E-3</v>
      </c>
      <c r="N310">
        <v>3.32E-3</v>
      </c>
      <c r="O310" s="1">
        <v>5.5E-2</v>
      </c>
      <c r="P310" s="1">
        <v>-0.01</v>
      </c>
      <c r="Q310" s="1">
        <f t="shared" si="96"/>
        <v>0.18181818181818182</v>
      </c>
      <c r="S310" t="s">
        <v>9</v>
      </c>
      <c r="T310">
        <v>0.5</v>
      </c>
      <c r="U310">
        <v>0.9</v>
      </c>
      <c r="V310">
        <v>3.29E-3</v>
      </c>
      <c r="W310">
        <v>3.3300000000000001E-3</v>
      </c>
      <c r="X310" s="1">
        <v>5.5E-2</v>
      </c>
      <c r="Y310" s="1">
        <v>-1.2200000000000001E-2</v>
      </c>
      <c r="Z310" s="1">
        <f t="shared" si="97"/>
        <v>0.22181818181818183</v>
      </c>
      <c r="AQ310" s="10"/>
      <c r="AR310" s="5"/>
      <c r="AS310" s="7"/>
      <c r="AT310" s="12">
        <f t="shared" si="94"/>
        <v>1.7372625953549468E-3</v>
      </c>
      <c r="AU310" s="7">
        <f t="shared" si="98"/>
        <v>-1.0131712259371773E-2</v>
      </c>
    </row>
    <row r="311" spans="1:54" x14ac:dyDescent="0.35">
      <c r="A311" s="17" t="s">
        <v>9</v>
      </c>
      <c r="B311">
        <v>1</v>
      </c>
      <c r="C311">
        <v>0.9</v>
      </c>
      <c r="D311">
        <v>1.2099999999999999E-3</v>
      </c>
      <c r="E311" s="11">
        <v>1.1900000000000001E-3</v>
      </c>
      <c r="F311" s="1">
        <v>0.109</v>
      </c>
      <c r="G311" s="1">
        <v>1.77E-2</v>
      </c>
      <c r="H311" s="1">
        <f t="shared" si="95"/>
        <v>0.16238532110091744</v>
      </c>
      <c r="J311" t="s">
        <v>9</v>
      </c>
      <c r="K311">
        <v>1</v>
      </c>
      <c r="L311">
        <v>0.9</v>
      </c>
      <c r="M311">
        <v>1.2099999999999999E-3</v>
      </c>
      <c r="N311">
        <v>1.1999999999999999E-3</v>
      </c>
      <c r="O311" s="1">
        <v>0.109</v>
      </c>
      <c r="P311" s="1">
        <v>9.7999999999999997E-3</v>
      </c>
      <c r="Q311" s="1">
        <f t="shared" si="96"/>
        <v>8.9908256880733936E-2</v>
      </c>
      <c r="S311" t="s">
        <v>9</v>
      </c>
      <c r="T311">
        <v>1</v>
      </c>
      <c r="U311">
        <v>0.9</v>
      </c>
      <c r="V311">
        <v>1.2099999999999999E-3</v>
      </c>
      <c r="W311">
        <v>1.1900000000000001E-3</v>
      </c>
      <c r="X311" s="1">
        <v>0.109</v>
      </c>
      <c r="Y311" s="1">
        <v>1.95E-2</v>
      </c>
      <c r="Z311" s="1">
        <f t="shared" si="97"/>
        <v>0.17889908256880735</v>
      </c>
      <c r="AR311" s="10"/>
      <c r="AS311" s="5"/>
      <c r="AT311" s="12">
        <f>STDEV(AO311,AF311,W311,N311,E311)/ AVERAGE(AO311,AF311,W311,N311,E311)</f>
        <v>4.8381307473990068E-3</v>
      </c>
      <c r="AU311" s="7">
        <f t="shared" si="98"/>
        <v>1.3774104683195509E-2</v>
      </c>
    </row>
    <row r="313" spans="1:54" x14ac:dyDescent="0.35">
      <c r="A313" s="6" t="s">
        <v>25</v>
      </c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AN313" s="6" t="s">
        <v>25</v>
      </c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</row>
    <row r="314" spans="1:54" x14ac:dyDescent="0.35">
      <c r="A314" s="17" t="s">
        <v>0</v>
      </c>
      <c r="B314" t="s">
        <v>1</v>
      </c>
      <c r="C314" t="s">
        <v>2</v>
      </c>
      <c r="D314" t="s">
        <v>3</v>
      </c>
      <c r="E314" t="s">
        <v>4</v>
      </c>
      <c r="F314" t="s">
        <v>5</v>
      </c>
      <c r="G314" t="s">
        <v>6</v>
      </c>
      <c r="J314" t="s">
        <v>0</v>
      </c>
      <c r="K314" t="s">
        <v>1</v>
      </c>
      <c r="L314" t="s">
        <v>2</v>
      </c>
      <c r="M314" t="s">
        <v>3</v>
      </c>
      <c r="N314" t="s">
        <v>4</v>
      </c>
      <c r="O314" t="s">
        <v>5</v>
      </c>
      <c r="P314" t="s">
        <v>6</v>
      </c>
    </row>
    <row r="315" spans="1:54" x14ac:dyDescent="0.35">
      <c r="A315" s="17" t="s">
        <v>7</v>
      </c>
      <c r="B315">
        <v>0.8</v>
      </c>
      <c r="C315">
        <v>0.2</v>
      </c>
      <c r="D315">
        <v>0.16200000000000001</v>
      </c>
      <c r="E315">
        <v>0.16200000000000001</v>
      </c>
      <c r="F315" s="1">
        <v>0</v>
      </c>
      <c r="G315" s="1">
        <v>-5.9999999999999995E-4</v>
      </c>
      <c r="H315" s="1" t="e">
        <f>ABS(G315/F315)</f>
        <v>#DIV/0!</v>
      </c>
      <c r="J315" t="s">
        <v>7</v>
      </c>
      <c r="K315">
        <v>0.8</v>
      </c>
      <c r="L315">
        <v>0.2</v>
      </c>
      <c r="M315">
        <v>0.16200000000000001</v>
      </c>
      <c r="N315">
        <v>0.16200000000000001</v>
      </c>
      <c r="O315" s="1">
        <v>0</v>
      </c>
      <c r="P315" s="1">
        <v>-5.0000000000000001E-4</v>
      </c>
      <c r="Q315" s="1" t="e">
        <f>ABS(P315/O315)</f>
        <v>#DIV/0!</v>
      </c>
      <c r="AR315" s="10"/>
      <c r="AS315" s="12"/>
      <c r="AT315" s="13">
        <f t="shared" ref="AT315:AT331" si="99">STDEV(AO315,AF315,W315,N315,E315)/ AVERAGE(AO315,AF315,W315,N315,E315)</f>
        <v>0</v>
      </c>
      <c r="AU315" s="8">
        <f>( D315 - AVERAGE(AO315,AF315,W315,N315,E315))/ D315</f>
        <v>0</v>
      </c>
    </row>
    <row r="316" spans="1:54" x14ac:dyDescent="0.35">
      <c r="A316" s="17" t="s">
        <v>7</v>
      </c>
      <c r="B316">
        <v>4</v>
      </c>
      <c r="C316">
        <v>0.2</v>
      </c>
      <c r="D316">
        <v>2.2699999999999999E-3</v>
      </c>
      <c r="E316">
        <v>2.2799999999999999E-3</v>
      </c>
      <c r="F316" s="1">
        <v>2E-3</v>
      </c>
      <c r="G316" s="1">
        <v>-4.1999999999999997E-3</v>
      </c>
      <c r="H316" s="1">
        <f t="shared" ref="H316:H332" si="100">ABS(G316/F316)</f>
        <v>2.0999999999999996</v>
      </c>
      <c r="J316" t="s">
        <v>7</v>
      </c>
      <c r="K316">
        <v>4</v>
      </c>
      <c r="L316">
        <v>0.2</v>
      </c>
      <c r="M316">
        <v>2.2699999999999999E-3</v>
      </c>
      <c r="N316">
        <v>2.2799999999999999E-3</v>
      </c>
      <c r="O316" s="1">
        <v>2E-3</v>
      </c>
      <c r="P316" s="1">
        <v>-4.3E-3</v>
      </c>
      <c r="Q316" s="1">
        <f t="shared" ref="Q316:Q332" si="101">ABS(P316/O316)</f>
        <v>2.15</v>
      </c>
      <c r="AR316" s="10"/>
      <c r="AS316" s="12"/>
      <c r="AT316" s="13">
        <f t="shared" si="99"/>
        <v>0</v>
      </c>
      <c r="AU316" s="8">
        <f t="shared" ref="AU316:AU332" si="102">( D316 - AVERAGE(AO316,AF316,W316,N316,E316))/ D316</f>
        <v>-4.4052863436123465E-3</v>
      </c>
    </row>
    <row r="317" spans="1:54" x14ac:dyDescent="0.35">
      <c r="A317" s="17" t="s">
        <v>7</v>
      </c>
      <c r="B317">
        <v>8</v>
      </c>
      <c r="C317">
        <v>0.2</v>
      </c>
      <c r="D317">
        <v>1.2999999999999999E-5</v>
      </c>
      <c r="E317">
        <v>1.2999999999999999E-5</v>
      </c>
      <c r="F317" s="1">
        <v>4.7E-2</v>
      </c>
      <c r="G317" s="1">
        <v>-3.8E-3</v>
      </c>
      <c r="H317" s="1">
        <f t="shared" si="100"/>
        <v>8.085106382978724E-2</v>
      </c>
      <c r="J317" t="s">
        <v>7</v>
      </c>
      <c r="K317">
        <v>8</v>
      </c>
      <c r="L317">
        <v>0.2</v>
      </c>
      <c r="M317">
        <v>1.2999999999999999E-5</v>
      </c>
      <c r="N317">
        <v>1.34E-5</v>
      </c>
      <c r="O317" s="1">
        <v>4.7E-2</v>
      </c>
      <c r="P317" s="1">
        <v>-3.3799999999999997E-2</v>
      </c>
      <c r="Q317" s="1">
        <f t="shared" si="101"/>
        <v>0.71914893617021269</v>
      </c>
      <c r="AR317" s="10"/>
      <c r="AS317" s="12"/>
      <c r="AT317" s="13">
        <f t="shared" si="99"/>
        <v>2.1427478217774236E-2</v>
      </c>
      <c r="AU317" s="8">
        <f t="shared" si="102"/>
        <v>-1.5384615384615368E-2</v>
      </c>
    </row>
    <row r="318" spans="1:54" x14ac:dyDescent="0.35">
      <c r="A318" s="17" t="s">
        <v>8</v>
      </c>
      <c r="B318">
        <v>0.8</v>
      </c>
      <c r="C318">
        <v>0.2</v>
      </c>
      <c r="D318">
        <v>9.6599999999999995E-4</v>
      </c>
      <c r="E318">
        <v>9.7599999999999998E-4</v>
      </c>
      <c r="F318" s="1">
        <v>2.3E-2</v>
      </c>
      <c r="G318" s="1">
        <v>-1.04E-2</v>
      </c>
      <c r="H318" s="1">
        <f t="shared" si="100"/>
        <v>0.45217391304347826</v>
      </c>
      <c r="J318" t="s">
        <v>8</v>
      </c>
      <c r="K318">
        <v>0.8</v>
      </c>
      <c r="L318">
        <v>0.2</v>
      </c>
      <c r="M318">
        <v>9.6599999999999995E-4</v>
      </c>
      <c r="N318">
        <v>9.7300000000000002E-4</v>
      </c>
      <c r="O318" s="1">
        <v>2.3E-2</v>
      </c>
      <c r="P318" s="1">
        <v>-7.4999999999999997E-3</v>
      </c>
      <c r="Q318" s="1">
        <f t="shared" si="101"/>
        <v>0.32608695652173914</v>
      </c>
      <c r="AR318" s="10"/>
      <c r="AS318" s="12"/>
      <c r="AT318" s="14">
        <f t="shared" si="99"/>
        <v>2.1768294956999667E-3</v>
      </c>
      <c r="AU318" s="9">
        <f t="shared" si="102"/>
        <v>-8.799171842650149E-3</v>
      </c>
    </row>
    <row r="319" spans="1:54" x14ac:dyDescent="0.35">
      <c r="A319" s="17" t="s">
        <v>8</v>
      </c>
      <c r="B319">
        <v>4</v>
      </c>
      <c r="C319">
        <v>0.2</v>
      </c>
      <c r="D319">
        <v>1.3699999999999999E-5</v>
      </c>
      <c r="E319">
        <v>1.4100000000000001E-5</v>
      </c>
      <c r="F319" s="1">
        <v>6.3E-2</v>
      </c>
      <c r="G319" s="1">
        <v>-2.8500000000000001E-2</v>
      </c>
      <c r="H319" s="1">
        <f t="shared" si="100"/>
        <v>0.45238095238095238</v>
      </c>
      <c r="J319" t="s">
        <v>8</v>
      </c>
      <c r="K319">
        <v>4</v>
      </c>
      <c r="L319">
        <v>0.2</v>
      </c>
      <c r="M319">
        <v>1.3699999999999999E-5</v>
      </c>
      <c r="N319">
        <v>1.29E-5</v>
      </c>
      <c r="O319" s="1">
        <v>6.3E-2</v>
      </c>
      <c r="P319" s="1">
        <v>6.13E-2</v>
      </c>
      <c r="Q319" s="1">
        <f t="shared" si="101"/>
        <v>0.973015873015873</v>
      </c>
      <c r="AR319" s="10"/>
      <c r="AS319" s="12"/>
      <c r="AT319" s="14">
        <f t="shared" si="99"/>
        <v>6.2853936105470909E-2</v>
      </c>
      <c r="AU319" s="9">
        <f t="shared" si="102"/>
        <v>1.4598540145985385E-2</v>
      </c>
    </row>
    <row r="320" spans="1:54" x14ac:dyDescent="0.35">
      <c r="A320" s="17" t="s">
        <v>8</v>
      </c>
      <c r="B320">
        <v>8</v>
      </c>
      <c r="C320">
        <v>0.2</v>
      </c>
      <c r="D320">
        <v>7.2800000000000003E-8</v>
      </c>
      <c r="E320">
        <v>1.1000000000000001E-7</v>
      </c>
      <c r="F320" s="1">
        <v>0.187</v>
      </c>
      <c r="G320" s="1">
        <v>-0.51100000000000001</v>
      </c>
      <c r="H320" s="1">
        <f t="shared" si="100"/>
        <v>2.7326203208556152</v>
      </c>
      <c r="J320" t="s">
        <v>8</v>
      </c>
      <c r="K320">
        <v>8</v>
      </c>
      <c r="L320">
        <v>0.2</v>
      </c>
      <c r="M320">
        <v>7.2800000000000003E-8</v>
      </c>
      <c r="N320">
        <v>5.9999999999999995E-8</v>
      </c>
      <c r="O320" s="1">
        <v>0.187</v>
      </c>
      <c r="P320" s="1">
        <v>0.17580000000000001</v>
      </c>
      <c r="Q320" s="1">
        <f t="shared" si="101"/>
        <v>0.94010695187165783</v>
      </c>
      <c r="AR320" s="10"/>
      <c r="AS320" s="12"/>
      <c r="AT320" s="14">
        <f t="shared" si="99"/>
        <v>0.41594516540385157</v>
      </c>
      <c r="AU320" s="9">
        <f t="shared" si="102"/>
        <v>-0.16758241758241763</v>
      </c>
    </row>
    <row r="321" spans="1:54" x14ac:dyDescent="0.35">
      <c r="A321" s="17" t="s">
        <v>9</v>
      </c>
      <c r="B321">
        <v>0.8</v>
      </c>
      <c r="C321">
        <v>0.2</v>
      </c>
      <c r="D321">
        <v>5.4700000000000001E-5</v>
      </c>
      <c r="E321">
        <v>6.19E-5</v>
      </c>
      <c r="F321" s="1">
        <v>0.06</v>
      </c>
      <c r="G321" s="1">
        <v>-0.13159999999999999</v>
      </c>
      <c r="H321" s="1">
        <f t="shared" si="100"/>
        <v>2.1933333333333334</v>
      </c>
      <c r="J321" t="s">
        <v>9</v>
      </c>
      <c r="K321">
        <v>0.8</v>
      </c>
      <c r="L321">
        <v>0.2</v>
      </c>
      <c r="M321">
        <v>5.4700000000000001E-5</v>
      </c>
      <c r="N321">
        <v>6.0300000000000002E-5</v>
      </c>
      <c r="O321" s="1">
        <v>0.06</v>
      </c>
      <c r="P321" s="1">
        <v>-0.1026</v>
      </c>
      <c r="Q321" s="1">
        <f t="shared" si="101"/>
        <v>1.71</v>
      </c>
      <c r="AR321" s="10"/>
      <c r="AS321" s="12"/>
      <c r="AT321" s="12">
        <f t="shared" si="99"/>
        <v>1.8516707854312191E-2</v>
      </c>
      <c r="AU321" s="7">
        <f t="shared" si="102"/>
        <v>-0.11700182815356476</v>
      </c>
    </row>
    <row r="322" spans="1:54" x14ac:dyDescent="0.35">
      <c r="A322" s="17" t="s">
        <v>9</v>
      </c>
      <c r="B322">
        <v>4</v>
      </c>
      <c r="C322">
        <v>0.2</v>
      </c>
      <c r="D322">
        <v>6.2399999999999998E-7</v>
      </c>
      <c r="E322">
        <v>7.6000000000000003E-7</v>
      </c>
      <c r="F322" s="1">
        <v>0.35499999999999998</v>
      </c>
      <c r="G322" s="1">
        <v>-0.21790000000000001</v>
      </c>
      <c r="H322" s="1">
        <f t="shared" si="100"/>
        <v>0.61380281690140848</v>
      </c>
      <c r="J322" t="s">
        <v>9</v>
      </c>
      <c r="K322">
        <v>4</v>
      </c>
      <c r="L322">
        <v>0.2</v>
      </c>
      <c r="M322">
        <v>6.2399999999999998E-7</v>
      </c>
      <c r="N322">
        <v>9.0999999999999997E-7</v>
      </c>
      <c r="O322" s="1">
        <v>0.35499999999999998</v>
      </c>
      <c r="P322" s="1">
        <v>-0.45829999999999999</v>
      </c>
      <c r="Q322" s="1">
        <f t="shared" si="101"/>
        <v>1.2909859154929577</v>
      </c>
      <c r="AR322" s="10"/>
      <c r="AS322" s="12"/>
      <c r="AT322" s="12">
        <f t="shared" si="99"/>
        <v>0.12702517027303242</v>
      </c>
      <c r="AU322" s="7">
        <f t="shared" si="102"/>
        <v>-0.33814102564102577</v>
      </c>
    </row>
    <row r="323" spans="1:54" x14ac:dyDescent="0.35">
      <c r="A323" s="17" t="s">
        <v>9</v>
      </c>
      <c r="B323">
        <v>8</v>
      </c>
      <c r="C323">
        <v>0.2</v>
      </c>
      <c r="D323">
        <v>4.0199999999999998E-9</v>
      </c>
      <c r="E323">
        <v>1E-8</v>
      </c>
      <c r="F323" s="1">
        <v>0.248</v>
      </c>
      <c r="G323" s="1">
        <v>-1.4876</v>
      </c>
      <c r="H323" s="1">
        <f t="shared" si="100"/>
        <v>5.9983870967741941</v>
      </c>
      <c r="J323" t="s">
        <v>9</v>
      </c>
      <c r="K323">
        <v>8</v>
      </c>
      <c r="L323">
        <v>0.2</v>
      </c>
      <c r="M323">
        <v>4.0199999999999998E-9</v>
      </c>
      <c r="N323">
        <v>0</v>
      </c>
      <c r="O323" s="1">
        <v>0.248</v>
      </c>
      <c r="P323" s="1">
        <v>1</v>
      </c>
      <c r="Q323" s="1">
        <f t="shared" si="101"/>
        <v>4.032258064516129</v>
      </c>
      <c r="AR323" s="10"/>
      <c r="AS323" s="12"/>
      <c r="AT323" s="12">
        <f t="shared" si="99"/>
        <v>1.4142135623730951</v>
      </c>
      <c r="AU323" s="7">
        <f t="shared" si="102"/>
        <v>-0.2437810945273633</v>
      </c>
    </row>
    <row r="324" spans="1:54" x14ac:dyDescent="0.35">
      <c r="A324" s="17" t="s">
        <v>7</v>
      </c>
      <c r="B324">
        <v>0.1</v>
      </c>
      <c r="C324">
        <v>0.9</v>
      </c>
      <c r="D324">
        <v>0.41299999999999998</v>
      </c>
      <c r="E324">
        <v>0.41299999999999998</v>
      </c>
      <c r="F324" s="1">
        <v>1E-3</v>
      </c>
      <c r="G324" s="1">
        <v>-1.1000000000000001E-3</v>
      </c>
      <c r="H324" s="1">
        <f t="shared" si="100"/>
        <v>1.1000000000000001</v>
      </c>
      <c r="J324" t="s">
        <v>7</v>
      </c>
      <c r="K324">
        <v>0.1</v>
      </c>
      <c r="L324">
        <v>0.9</v>
      </c>
      <c r="M324">
        <v>0.41299999999999998</v>
      </c>
      <c r="N324">
        <v>0.41299999999999998</v>
      </c>
      <c r="O324" s="1">
        <v>1E-3</v>
      </c>
      <c r="P324" s="1">
        <v>-1.1000000000000001E-3</v>
      </c>
      <c r="Q324" s="1">
        <f t="shared" si="101"/>
        <v>1.1000000000000001</v>
      </c>
      <c r="AR324" s="10"/>
      <c r="AS324" s="12"/>
      <c r="AT324" s="13">
        <f t="shared" si="99"/>
        <v>0</v>
      </c>
      <c r="AU324" s="8">
        <f t="shared" si="102"/>
        <v>0</v>
      </c>
    </row>
    <row r="325" spans="1:54" x14ac:dyDescent="0.35">
      <c r="A325" s="17" t="s">
        <v>7</v>
      </c>
      <c r="B325">
        <v>0.5</v>
      </c>
      <c r="C325">
        <v>0.9</v>
      </c>
      <c r="D325">
        <v>0.187</v>
      </c>
      <c r="E325">
        <v>0.187</v>
      </c>
      <c r="F325" s="1">
        <v>5.0000000000000001E-3</v>
      </c>
      <c r="G325" s="1">
        <v>-1.6999999999999999E-3</v>
      </c>
      <c r="H325" s="1">
        <f t="shared" si="100"/>
        <v>0.33999999999999997</v>
      </c>
      <c r="J325" t="s">
        <v>7</v>
      </c>
      <c r="K325">
        <v>0.5</v>
      </c>
      <c r="L325">
        <v>0.9</v>
      </c>
      <c r="M325">
        <v>0.187</v>
      </c>
      <c r="N325">
        <v>0.187</v>
      </c>
      <c r="O325" s="1">
        <v>5.0000000000000001E-3</v>
      </c>
      <c r="P325" s="1">
        <v>-1.6000000000000001E-3</v>
      </c>
      <c r="Q325" s="1">
        <f t="shared" si="101"/>
        <v>0.32</v>
      </c>
      <c r="AR325" s="10"/>
      <c r="AS325" s="12"/>
      <c r="AT325" s="13">
        <f t="shared" si="99"/>
        <v>0</v>
      </c>
      <c r="AU325" s="8">
        <f t="shared" si="102"/>
        <v>0</v>
      </c>
    </row>
    <row r="326" spans="1:54" x14ac:dyDescent="0.35">
      <c r="A326" s="17" t="s">
        <v>7</v>
      </c>
      <c r="B326">
        <v>1</v>
      </c>
      <c r="C326">
        <v>0.9</v>
      </c>
      <c r="D326">
        <v>6.8500000000000005E-2</v>
      </c>
      <c r="E326">
        <v>6.8699999999999997E-2</v>
      </c>
      <c r="F326" s="1">
        <v>0.01</v>
      </c>
      <c r="G326" s="1">
        <v>-2.8999999999999998E-3</v>
      </c>
      <c r="H326" s="1">
        <f t="shared" si="100"/>
        <v>0.28999999999999998</v>
      </c>
      <c r="J326" t="s">
        <v>7</v>
      </c>
      <c r="K326">
        <v>1</v>
      </c>
      <c r="L326">
        <v>0.9</v>
      </c>
      <c r="M326">
        <v>6.8500000000000005E-2</v>
      </c>
      <c r="N326">
        <v>6.8699999999999997E-2</v>
      </c>
      <c r="O326" s="1">
        <v>0.01</v>
      </c>
      <c r="P326" s="1">
        <v>-2.7000000000000001E-3</v>
      </c>
      <c r="Q326" s="1">
        <f t="shared" si="101"/>
        <v>0.27</v>
      </c>
      <c r="AR326" s="10"/>
      <c r="AS326" s="12"/>
      <c r="AT326" s="13">
        <f t="shared" si="99"/>
        <v>0</v>
      </c>
      <c r="AU326" s="8">
        <f t="shared" si="102"/>
        <v>-2.9197080291969613E-3</v>
      </c>
    </row>
    <row r="327" spans="1:54" x14ac:dyDescent="0.35">
      <c r="A327" s="17" t="s">
        <v>8</v>
      </c>
      <c r="B327">
        <v>0.1</v>
      </c>
      <c r="C327">
        <v>0.9</v>
      </c>
      <c r="D327">
        <v>9.3100000000000002E-2</v>
      </c>
      <c r="E327">
        <v>9.2799999999999994E-2</v>
      </c>
      <c r="F327" s="1">
        <v>2.1000000000000001E-2</v>
      </c>
      <c r="G327" s="1">
        <v>2.8E-3</v>
      </c>
      <c r="H327" s="1">
        <f t="shared" si="100"/>
        <v>0.13333333333333333</v>
      </c>
      <c r="J327" t="s">
        <v>8</v>
      </c>
      <c r="K327">
        <v>0.1</v>
      </c>
      <c r="L327">
        <v>0.9</v>
      </c>
      <c r="M327">
        <v>9.3100000000000002E-2</v>
      </c>
      <c r="N327">
        <v>9.2899999999999996E-2</v>
      </c>
      <c r="O327" s="1">
        <v>2.1000000000000001E-2</v>
      </c>
      <c r="P327" s="1">
        <v>2.3999999999999998E-3</v>
      </c>
      <c r="Q327" s="1">
        <f t="shared" si="101"/>
        <v>0.11428571428571427</v>
      </c>
      <c r="AR327" s="10"/>
      <c r="AS327" s="12"/>
      <c r="AT327" s="14">
        <f t="shared" si="99"/>
        <v>7.6155819190798903E-4</v>
      </c>
      <c r="AU327" s="9">
        <f t="shared" si="102"/>
        <v>2.6852846401720096E-3</v>
      </c>
    </row>
    <row r="328" spans="1:54" x14ac:dyDescent="0.35">
      <c r="A328" s="17" t="s">
        <v>8</v>
      </c>
      <c r="B328">
        <v>0.5</v>
      </c>
      <c r="C328">
        <v>0.9</v>
      </c>
      <c r="D328">
        <v>4.6300000000000001E-2</v>
      </c>
      <c r="E328">
        <v>4.5999999999999999E-2</v>
      </c>
      <c r="F328" s="1">
        <v>1.7000000000000001E-2</v>
      </c>
      <c r="G328" s="1">
        <v>5.7000000000000002E-3</v>
      </c>
      <c r="H328" s="1">
        <f t="shared" si="100"/>
        <v>0.3352941176470588</v>
      </c>
      <c r="J328" t="s">
        <v>8</v>
      </c>
      <c r="K328">
        <v>0.5</v>
      </c>
      <c r="L328">
        <v>0.9</v>
      </c>
      <c r="M328">
        <v>4.6300000000000001E-2</v>
      </c>
      <c r="N328">
        <v>4.5999999999999999E-2</v>
      </c>
      <c r="O328" s="1">
        <v>1.7000000000000001E-2</v>
      </c>
      <c r="P328" s="1">
        <v>5.5999999999999999E-3</v>
      </c>
      <c r="Q328" s="1">
        <f t="shared" si="101"/>
        <v>0.32941176470588235</v>
      </c>
      <c r="AR328" s="10"/>
      <c r="AS328" s="12"/>
      <c r="AT328" s="14">
        <f t="shared" si="99"/>
        <v>0</v>
      </c>
      <c r="AU328" s="9">
        <f t="shared" si="102"/>
        <v>6.479481641468718E-3</v>
      </c>
    </row>
    <row r="329" spans="1:54" x14ac:dyDescent="0.35">
      <c r="A329" s="17" t="s">
        <v>8</v>
      </c>
      <c r="B329">
        <v>1</v>
      </c>
      <c r="C329">
        <v>0.9</v>
      </c>
      <c r="D329">
        <v>1.6500000000000001E-2</v>
      </c>
      <c r="E329">
        <v>1.6299999999999999E-2</v>
      </c>
      <c r="F329" s="1">
        <v>1.4E-2</v>
      </c>
      <c r="G329" s="1">
        <v>9.9000000000000008E-3</v>
      </c>
      <c r="H329" s="1">
        <f t="shared" si="100"/>
        <v>0.70714285714285718</v>
      </c>
      <c r="J329" t="s">
        <v>8</v>
      </c>
      <c r="K329">
        <v>1</v>
      </c>
      <c r="L329">
        <v>0.9</v>
      </c>
      <c r="M329">
        <v>1.6500000000000001E-2</v>
      </c>
      <c r="N329">
        <v>1.6299999999999999E-2</v>
      </c>
      <c r="O329" s="1">
        <v>1.4E-2</v>
      </c>
      <c r="P329" s="1">
        <v>9.7000000000000003E-3</v>
      </c>
      <c r="Q329" s="1">
        <f t="shared" si="101"/>
        <v>0.69285714285714284</v>
      </c>
      <c r="AR329" s="10"/>
      <c r="AS329" s="12"/>
      <c r="AT329" s="14">
        <f t="shared" si="99"/>
        <v>0</v>
      </c>
      <c r="AU329" s="9">
        <f t="shared" si="102"/>
        <v>1.2121212121212258E-2</v>
      </c>
    </row>
    <row r="330" spans="1:54" x14ac:dyDescent="0.35">
      <c r="A330" s="17" t="s">
        <v>9</v>
      </c>
      <c r="B330">
        <v>0.1</v>
      </c>
      <c r="C330">
        <v>0.9</v>
      </c>
      <c r="D330">
        <v>6.9899999999999997E-3</v>
      </c>
      <c r="E330">
        <v>7.0899999999999999E-3</v>
      </c>
      <c r="F330" s="1">
        <v>6.3E-2</v>
      </c>
      <c r="G330" s="1">
        <v>-1.47E-2</v>
      </c>
      <c r="H330" s="1">
        <f t="shared" si="100"/>
        <v>0.23333333333333334</v>
      </c>
      <c r="J330" t="s">
        <v>9</v>
      </c>
      <c r="K330">
        <v>0.1</v>
      </c>
      <c r="L330">
        <v>0.9</v>
      </c>
      <c r="M330">
        <v>6.9899999999999997E-3</v>
      </c>
      <c r="N330">
        <v>7.0800000000000004E-3</v>
      </c>
      <c r="O330" s="1">
        <v>6.3E-2</v>
      </c>
      <c r="P330" s="1">
        <v>-1.35E-2</v>
      </c>
      <c r="Q330" s="1">
        <f t="shared" si="101"/>
        <v>0.21428571428571427</v>
      </c>
      <c r="AR330" s="10"/>
      <c r="AS330" s="12"/>
      <c r="AT330" s="12">
        <f t="shared" si="99"/>
        <v>9.9803356554201638E-4</v>
      </c>
      <c r="AU330" s="7">
        <f t="shared" si="102"/>
        <v>-1.3590844062947135E-2</v>
      </c>
    </row>
    <row r="331" spans="1:54" x14ac:dyDescent="0.35">
      <c r="A331" s="17" t="s">
        <v>9</v>
      </c>
      <c r="B331">
        <v>0.5</v>
      </c>
      <c r="C331">
        <v>0.9</v>
      </c>
      <c r="D331">
        <v>3.29E-3</v>
      </c>
      <c r="E331">
        <v>3.2299999999999998E-3</v>
      </c>
      <c r="F331" s="1">
        <v>5.5E-2</v>
      </c>
      <c r="G331" s="1">
        <v>1.7500000000000002E-2</v>
      </c>
      <c r="H331" s="1">
        <f t="shared" si="100"/>
        <v>0.31818181818181823</v>
      </c>
      <c r="J331" t="s">
        <v>9</v>
      </c>
      <c r="K331">
        <v>0.5</v>
      </c>
      <c r="L331">
        <v>0.9</v>
      </c>
      <c r="M331">
        <v>3.29E-3</v>
      </c>
      <c r="N331">
        <v>3.2399999999999998E-3</v>
      </c>
      <c r="O331" s="1">
        <v>5.5E-2</v>
      </c>
      <c r="P331" s="1">
        <v>1.4E-2</v>
      </c>
      <c r="Q331" s="1">
        <f t="shared" si="101"/>
        <v>0.25454545454545457</v>
      </c>
      <c r="AR331" s="10"/>
      <c r="AS331" s="12"/>
      <c r="AT331" s="12">
        <f t="shared" si="99"/>
        <v>2.1858014874391015E-3</v>
      </c>
      <c r="AU331" s="7">
        <f t="shared" si="102"/>
        <v>1.6717325227963504E-2</v>
      </c>
    </row>
    <row r="332" spans="1:54" x14ac:dyDescent="0.35">
      <c r="A332" s="17" t="s">
        <v>9</v>
      </c>
      <c r="B332">
        <v>1</v>
      </c>
      <c r="C332">
        <v>0.9</v>
      </c>
      <c r="D332">
        <v>1.2099999999999999E-3</v>
      </c>
      <c r="E332">
        <v>1.1800000000000001E-3</v>
      </c>
      <c r="F332" s="1">
        <v>0.109</v>
      </c>
      <c r="G332" s="1">
        <v>2.4899999999999999E-2</v>
      </c>
      <c r="H332" s="1">
        <f t="shared" si="100"/>
        <v>0.22844036697247705</v>
      </c>
      <c r="J332" t="s">
        <v>9</v>
      </c>
      <c r="K332">
        <v>1</v>
      </c>
      <c r="L332">
        <v>0.9</v>
      </c>
      <c r="M332">
        <v>1.2099999999999999E-3</v>
      </c>
      <c r="N332">
        <v>1.17E-3</v>
      </c>
      <c r="O332" s="1">
        <v>0.109</v>
      </c>
      <c r="P332" s="1">
        <v>3.3700000000000001E-2</v>
      </c>
      <c r="Q332" s="1">
        <f t="shared" si="101"/>
        <v>0.30917431192660549</v>
      </c>
      <c r="AR332" s="10"/>
      <c r="AS332" s="12"/>
      <c r="AT332" s="12">
        <f>STDEV(AO332,AF332,W332,N332,E332)/ AVERAGE(AO332,AF332,W332,N332,E332)</f>
        <v>6.0179300526514833E-3</v>
      </c>
      <c r="AU332" s="7">
        <f t="shared" si="102"/>
        <v>2.8925619834710644E-2</v>
      </c>
    </row>
    <row r="334" spans="1:54" x14ac:dyDescent="0.35">
      <c r="A334" s="6" t="s">
        <v>27</v>
      </c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AN334" s="6" t="s">
        <v>27</v>
      </c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</row>
    <row r="335" spans="1:54" x14ac:dyDescent="0.35">
      <c r="A335" s="17" t="s">
        <v>0</v>
      </c>
      <c r="B335" t="s">
        <v>1</v>
      </c>
      <c r="C335" t="s">
        <v>2</v>
      </c>
      <c r="D335" t="s">
        <v>3</v>
      </c>
      <c r="E335" t="s">
        <v>4</v>
      </c>
      <c r="F335" t="s">
        <v>5</v>
      </c>
      <c r="G335" t="s">
        <v>6</v>
      </c>
      <c r="J335" t="s">
        <v>0</v>
      </c>
      <c r="K335" t="s">
        <v>1</v>
      </c>
      <c r="L335" t="s">
        <v>2</v>
      </c>
      <c r="M335" t="s">
        <v>3</v>
      </c>
      <c r="N335" t="s">
        <v>4</v>
      </c>
      <c r="O335" t="s">
        <v>5</v>
      </c>
      <c r="P335" t="s">
        <v>6</v>
      </c>
      <c r="S335" t="s">
        <v>0</v>
      </c>
      <c r="T335" t="s">
        <v>1</v>
      </c>
      <c r="U335" t="s">
        <v>2</v>
      </c>
      <c r="V335" t="s">
        <v>3</v>
      </c>
      <c r="W335" t="s">
        <v>4</v>
      </c>
      <c r="X335" t="s">
        <v>5</v>
      </c>
      <c r="Y335" t="s">
        <v>6</v>
      </c>
      <c r="Z335" s="1"/>
      <c r="AB335" t="s">
        <v>0</v>
      </c>
      <c r="AC335" t="s">
        <v>1</v>
      </c>
      <c r="AD335" t="s">
        <v>2</v>
      </c>
      <c r="AE335" t="s">
        <v>3</v>
      </c>
      <c r="AF335" t="s">
        <v>4</v>
      </c>
      <c r="AG335" t="s">
        <v>5</v>
      </c>
      <c r="AH335" t="s">
        <v>6</v>
      </c>
      <c r="AR335" s="10"/>
      <c r="AS335" s="12"/>
      <c r="AT335" s="7"/>
      <c r="AU335"/>
    </row>
    <row r="336" spans="1:54" x14ac:dyDescent="0.35">
      <c r="A336" s="17" t="s">
        <v>7</v>
      </c>
      <c r="B336">
        <v>0.8</v>
      </c>
      <c r="C336">
        <v>0.2</v>
      </c>
      <c r="D336">
        <v>0.16200000000000001</v>
      </c>
      <c r="E336">
        <v>0.16200000000000001</v>
      </c>
      <c r="F336" s="1">
        <v>0</v>
      </c>
      <c r="G336" s="1">
        <v>-1.2999999999999999E-3</v>
      </c>
      <c r="H336" s="1" t="e">
        <f>ABS(G336/F336)</f>
        <v>#DIV/0!</v>
      </c>
      <c r="J336" s="1" t="s">
        <v>7</v>
      </c>
      <c r="K336" s="1">
        <v>0.8</v>
      </c>
      <c r="L336">
        <v>0.2</v>
      </c>
      <c r="M336">
        <v>0.16200000000000001</v>
      </c>
      <c r="N336">
        <v>0.16200000000000001</v>
      </c>
      <c r="O336" s="1">
        <v>0</v>
      </c>
      <c r="P336" s="1">
        <v>-8.9999999999999998E-4</v>
      </c>
      <c r="Q336" s="1" t="e">
        <f>ABS(P336/O336)</f>
        <v>#DIV/0!</v>
      </c>
      <c r="S336" t="s">
        <v>7</v>
      </c>
      <c r="T336">
        <v>0.8</v>
      </c>
      <c r="U336">
        <v>0.2</v>
      </c>
      <c r="V336">
        <v>0.16200000000000001</v>
      </c>
      <c r="W336">
        <v>0.16200000000000001</v>
      </c>
      <c r="X336" s="1">
        <v>0</v>
      </c>
      <c r="Y336" s="1">
        <v>-6.9999999999999999E-4</v>
      </c>
      <c r="Z336" s="1" t="e">
        <f t="shared" ref="Z336:Z353" si="103">ABS(Y336/X336)</f>
        <v>#DIV/0!</v>
      </c>
      <c r="AB336" t="s">
        <v>7</v>
      </c>
      <c r="AC336">
        <v>0.8</v>
      </c>
      <c r="AD336">
        <v>0.2</v>
      </c>
      <c r="AE336">
        <v>0.16200000000000001</v>
      </c>
      <c r="AF336">
        <v>0.16200000000000001</v>
      </c>
      <c r="AG336" s="1">
        <v>0</v>
      </c>
      <c r="AH336" s="1">
        <v>-1.5E-3</v>
      </c>
      <c r="AI336" s="1" t="e">
        <f t="shared" ref="AI336:AI353" si="104">ABS(AH336/AG336)</f>
        <v>#DIV/0!</v>
      </c>
      <c r="AR336" s="10"/>
      <c r="AS336" s="12"/>
      <c r="AT336" s="13">
        <f t="shared" ref="AT336:AT352" si="105">STDEV(AO336,AF336,W336,N336,E336)/ AVERAGE(AO336,AF336,W336,N336,E336)</f>
        <v>0</v>
      </c>
      <c r="AU336" s="8">
        <f>( D336 - AVERAGE(AO336,AF336,W336,N336,E336))/ D336</f>
        <v>0</v>
      </c>
    </row>
    <row r="337" spans="1:47" x14ac:dyDescent="0.35">
      <c r="A337" s="17" t="s">
        <v>7</v>
      </c>
      <c r="B337">
        <v>4</v>
      </c>
      <c r="C337">
        <v>0.2</v>
      </c>
      <c r="D337">
        <v>2.2699999999999999E-3</v>
      </c>
      <c r="E337">
        <v>2.2899999999999999E-3</v>
      </c>
      <c r="F337" s="1">
        <v>2E-3</v>
      </c>
      <c r="G337" s="1">
        <v>-8.0000000000000002E-3</v>
      </c>
      <c r="H337" s="1">
        <f t="shared" ref="H337:H353" si="106">ABS(G337/F337)</f>
        <v>4</v>
      </c>
      <c r="J337" s="1" t="s">
        <v>7</v>
      </c>
      <c r="K337" s="1">
        <v>4</v>
      </c>
      <c r="L337">
        <v>0.2</v>
      </c>
      <c r="M337">
        <v>2.2699999999999999E-3</v>
      </c>
      <c r="N337">
        <v>2.2699999999999999E-3</v>
      </c>
      <c r="O337" s="1">
        <v>2E-3</v>
      </c>
      <c r="P337" s="1">
        <v>-2.2000000000000001E-3</v>
      </c>
      <c r="Q337" s="1">
        <f t="shared" ref="Q337:Q353" si="107">ABS(P337/O337)</f>
        <v>1.1000000000000001</v>
      </c>
      <c r="S337" t="s">
        <v>7</v>
      </c>
      <c r="T337">
        <v>4</v>
      </c>
      <c r="U337">
        <v>0.2</v>
      </c>
      <c r="V337">
        <v>2.2699999999999999E-3</v>
      </c>
      <c r="W337">
        <v>2.2899999999999999E-3</v>
      </c>
      <c r="X337" s="1">
        <v>2E-3</v>
      </c>
      <c r="Y337" s="1">
        <v>-7.0000000000000001E-3</v>
      </c>
      <c r="Z337" s="1">
        <f t="shared" si="103"/>
        <v>3.5</v>
      </c>
      <c r="AB337" t="s">
        <v>7</v>
      </c>
      <c r="AC337">
        <v>4</v>
      </c>
      <c r="AD337">
        <v>0.2</v>
      </c>
      <c r="AE337">
        <v>2.2699999999999999E-3</v>
      </c>
      <c r="AF337">
        <v>2.3E-3</v>
      </c>
      <c r="AG337" s="1">
        <v>2E-3</v>
      </c>
      <c r="AH337" s="1">
        <v>-1.38E-2</v>
      </c>
      <c r="AI337" s="1">
        <f t="shared" si="104"/>
        <v>6.8999999999999995</v>
      </c>
      <c r="AR337" s="10"/>
      <c r="AS337" s="12"/>
      <c r="AT337" s="13">
        <f t="shared" si="105"/>
        <v>5.5007901167728737E-3</v>
      </c>
      <c r="AU337" s="8">
        <f t="shared" ref="AU337:AU353" si="108">( D337 - AVERAGE(AO337,AF337,W337,N337,E337))/ D337</f>
        <v>-7.7092511013216545E-3</v>
      </c>
    </row>
    <row r="338" spans="1:47" x14ac:dyDescent="0.35">
      <c r="A338" s="17" t="s">
        <v>7</v>
      </c>
      <c r="B338">
        <v>8</v>
      </c>
      <c r="C338">
        <v>0.2</v>
      </c>
      <c r="D338">
        <v>1.2999999999999999E-5</v>
      </c>
      <c r="E338">
        <v>1.2799999999999999E-5</v>
      </c>
      <c r="F338" s="1">
        <v>4.7E-2</v>
      </c>
      <c r="G338" s="1">
        <v>1.8499999999999999E-2</v>
      </c>
      <c r="H338" s="1">
        <f t="shared" si="106"/>
        <v>0.3936170212765957</v>
      </c>
      <c r="J338" s="1" t="s">
        <v>7</v>
      </c>
      <c r="K338" s="1">
        <v>8</v>
      </c>
      <c r="L338">
        <v>0.2</v>
      </c>
      <c r="M338">
        <v>1.2999999999999999E-5</v>
      </c>
      <c r="N338">
        <v>1.33E-5</v>
      </c>
      <c r="O338" s="1">
        <v>4.7E-2</v>
      </c>
      <c r="P338" s="1">
        <v>-0.02</v>
      </c>
      <c r="Q338" s="1">
        <f t="shared" si="107"/>
        <v>0.42553191489361702</v>
      </c>
      <c r="S338" t="s">
        <v>7</v>
      </c>
      <c r="T338">
        <v>8</v>
      </c>
      <c r="U338">
        <v>0.2</v>
      </c>
      <c r="V338">
        <v>1.2999999999999999E-5</v>
      </c>
      <c r="W338">
        <v>1.36E-5</v>
      </c>
      <c r="X338" s="1">
        <v>4.7E-2</v>
      </c>
      <c r="Y338" s="1">
        <v>-4.7699999999999999E-2</v>
      </c>
      <c r="Z338" s="1">
        <f t="shared" si="103"/>
        <v>1.0148936170212766</v>
      </c>
      <c r="AB338" t="s">
        <v>7</v>
      </c>
      <c r="AC338">
        <v>8</v>
      </c>
      <c r="AD338">
        <v>0.2</v>
      </c>
      <c r="AE338">
        <v>1.2999999999999999E-5</v>
      </c>
      <c r="AF338">
        <v>1.36E-5</v>
      </c>
      <c r="AG338" s="1">
        <v>4.7E-2</v>
      </c>
      <c r="AH338" s="1">
        <v>-0.05</v>
      </c>
      <c r="AI338" s="1">
        <f t="shared" si="104"/>
        <v>1.0638297872340425</v>
      </c>
      <c r="AR338" s="10"/>
      <c r="AS338" s="12"/>
      <c r="AT338" s="13">
        <f t="shared" si="105"/>
        <v>2.8329585122967193E-2</v>
      </c>
      <c r="AU338" s="8">
        <f t="shared" si="108"/>
        <v>-2.5000000000000088E-2</v>
      </c>
    </row>
    <row r="339" spans="1:47" x14ac:dyDescent="0.35">
      <c r="A339" s="17" t="s">
        <v>8</v>
      </c>
      <c r="B339">
        <v>0.8</v>
      </c>
      <c r="C339">
        <v>0.2</v>
      </c>
      <c r="D339">
        <v>9.6599999999999995E-4</v>
      </c>
      <c r="E339">
        <v>8.8900000000000003E-4</v>
      </c>
      <c r="F339" s="1">
        <v>2.3E-2</v>
      </c>
      <c r="G339" s="1">
        <v>7.9500000000000001E-2</v>
      </c>
      <c r="H339" s="1">
        <f t="shared" si="106"/>
        <v>3.456521739130435</v>
      </c>
      <c r="J339" s="1" t="s">
        <v>8</v>
      </c>
      <c r="K339" s="1">
        <v>0.8</v>
      </c>
      <c r="L339">
        <v>0.2</v>
      </c>
      <c r="M339">
        <v>9.6599999999999995E-4</v>
      </c>
      <c r="N339">
        <v>8.7900000000000001E-4</v>
      </c>
      <c r="O339" s="1">
        <v>2.3E-2</v>
      </c>
      <c r="P339" s="1">
        <v>8.9599999999999999E-2</v>
      </c>
      <c r="Q339" s="1">
        <f t="shared" si="107"/>
        <v>3.8956521739130436</v>
      </c>
      <c r="S339" t="s">
        <v>8</v>
      </c>
      <c r="T339">
        <v>0.8</v>
      </c>
      <c r="U339">
        <v>0.2</v>
      </c>
      <c r="V339">
        <v>9.6599999999999995E-4</v>
      </c>
      <c r="W339">
        <v>8.7500000000000002E-4</v>
      </c>
      <c r="X339" s="1">
        <v>2.3E-2</v>
      </c>
      <c r="Y339" s="1">
        <v>9.3899999999999997E-2</v>
      </c>
      <c r="Z339" s="1">
        <f t="shared" si="103"/>
        <v>4.0826086956521737</v>
      </c>
      <c r="AB339" t="s">
        <v>8</v>
      </c>
      <c r="AC339">
        <v>0.8</v>
      </c>
      <c r="AD339">
        <v>0.2</v>
      </c>
      <c r="AE339">
        <v>9.6599999999999995E-4</v>
      </c>
      <c r="AF339">
        <v>8.8500000000000004E-4</v>
      </c>
      <c r="AG339" s="1">
        <v>2.3E-2</v>
      </c>
      <c r="AH339" s="1">
        <v>8.3400000000000002E-2</v>
      </c>
      <c r="AI339" s="1">
        <f t="shared" si="104"/>
        <v>3.6260869565217391</v>
      </c>
      <c r="AR339" s="10"/>
      <c r="AS339" s="12"/>
      <c r="AT339" s="14">
        <f t="shared" si="105"/>
        <v>7.0501731315864196E-3</v>
      </c>
      <c r="AU339" s="9">
        <f t="shared" si="108"/>
        <v>8.6956521739130418E-2</v>
      </c>
    </row>
    <row r="340" spans="1:47" x14ac:dyDescent="0.35">
      <c r="A340" s="17" t="s">
        <v>8</v>
      </c>
      <c r="B340">
        <v>4</v>
      </c>
      <c r="C340">
        <v>0.2</v>
      </c>
      <c r="D340">
        <v>1.3699999999999999E-5</v>
      </c>
      <c r="E340">
        <v>1.2099999999999999E-5</v>
      </c>
      <c r="F340" s="1">
        <v>6.3E-2</v>
      </c>
      <c r="G340" s="1">
        <v>0.1182</v>
      </c>
      <c r="H340" s="1">
        <f t="shared" si="106"/>
        <v>1.8761904761904762</v>
      </c>
      <c r="J340" s="1" t="s">
        <v>8</v>
      </c>
      <c r="K340" s="1">
        <v>4</v>
      </c>
      <c r="L340">
        <v>0.2</v>
      </c>
      <c r="M340">
        <v>1.3699999999999999E-5</v>
      </c>
      <c r="N340">
        <v>1.24E-5</v>
      </c>
      <c r="O340" s="1">
        <v>6.3E-2</v>
      </c>
      <c r="P340" s="1">
        <v>9.1999999999999998E-2</v>
      </c>
      <c r="Q340" s="1">
        <f t="shared" si="107"/>
        <v>1.4603174603174602</v>
      </c>
      <c r="S340" t="s">
        <v>8</v>
      </c>
      <c r="T340">
        <v>4</v>
      </c>
      <c r="U340">
        <v>0.2</v>
      </c>
      <c r="V340">
        <v>1.3699999999999999E-5</v>
      </c>
      <c r="W340">
        <v>1.34E-5</v>
      </c>
      <c r="X340" s="1">
        <v>6.3E-2</v>
      </c>
      <c r="Y340" s="1">
        <v>1.9699999999999999E-2</v>
      </c>
      <c r="Z340" s="1">
        <f t="shared" si="103"/>
        <v>0.3126984126984127</v>
      </c>
      <c r="AB340" t="s">
        <v>8</v>
      </c>
      <c r="AC340">
        <v>4</v>
      </c>
      <c r="AD340">
        <v>0.2</v>
      </c>
      <c r="AE340">
        <v>1.3699999999999999E-5</v>
      </c>
      <c r="AF340">
        <v>1.43E-5</v>
      </c>
      <c r="AG340" s="1">
        <v>6.3E-2</v>
      </c>
      <c r="AH340" s="1">
        <v>-4.3099999999999999E-2</v>
      </c>
      <c r="AI340" s="1">
        <f t="shared" si="104"/>
        <v>0.68412698412698414</v>
      </c>
      <c r="AR340" s="10"/>
      <c r="AS340" s="12"/>
      <c r="AT340" s="14">
        <f t="shared" si="105"/>
        <v>7.6755960159983289E-2</v>
      </c>
      <c r="AU340" s="9">
        <f t="shared" si="108"/>
        <v>4.7445255474452601E-2</v>
      </c>
    </row>
    <row r="341" spans="1:47" x14ac:dyDescent="0.35">
      <c r="A341" s="17" t="s">
        <v>8</v>
      </c>
      <c r="B341">
        <v>8</v>
      </c>
      <c r="C341">
        <v>0.2</v>
      </c>
      <c r="D341">
        <v>7.2800000000000003E-8</v>
      </c>
      <c r="E341">
        <v>2.9999999999999997E-8</v>
      </c>
      <c r="F341" s="1">
        <v>0.187</v>
      </c>
      <c r="G341" s="1">
        <v>0.58789999999999998</v>
      </c>
      <c r="H341" s="1">
        <f t="shared" si="106"/>
        <v>3.1438502673796789</v>
      </c>
      <c r="J341" s="1" t="s">
        <v>8</v>
      </c>
      <c r="K341" s="1">
        <v>8</v>
      </c>
      <c r="L341">
        <v>0.2</v>
      </c>
      <c r="M341">
        <v>7.2800000000000003E-8</v>
      </c>
      <c r="N341">
        <v>4.9999999999999998E-8</v>
      </c>
      <c r="O341" s="1">
        <v>0.187</v>
      </c>
      <c r="P341" s="1">
        <v>0.31319999999999998</v>
      </c>
      <c r="Q341" s="1">
        <f t="shared" si="107"/>
        <v>1.6748663101604278</v>
      </c>
      <c r="S341" t="s">
        <v>8</v>
      </c>
      <c r="T341">
        <v>8</v>
      </c>
      <c r="U341">
        <v>0.2</v>
      </c>
      <c r="V341">
        <v>7.2800000000000003E-8</v>
      </c>
      <c r="W341">
        <v>2E-8</v>
      </c>
      <c r="X341" s="1">
        <v>0.187</v>
      </c>
      <c r="Y341" s="1">
        <v>0.72529999999999994</v>
      </c>
      <c r="Z341" s="1">
        <f t="shared" si="103"/>
        <v>3.878609625668449</v>
      </c>
      <c r="AB341" t="s">
        <v>8</v>
      </c>
      <c r="AC341">
        <v>8</v>
      </c>
      <c r="AD341">
        <v>0.2</v>
      </c>
      <c r="AE341">
        <v>7.2800000000000003E-8</v>
      </c>
      <c r="AF341">
        <v>1.1999999999999999E-7</v>
      </c>
      <c r="AG341" s="1">
        <v>0.187</v>
      </c>
      <c r="AH341" s="1">
        <v>-0.64839999999999998</v>
      </c>
      <c r="AI341" s="1">
        <f t="shared" si="104"/>
        <v>3.4673796791443849</v>
      </c>
      <c r="AR341" s="10"/>
      <c r="AS341" s="12"/>
      <c r="AT341" s="14">
        <f t="shared" si="105"/>
        <v>0.81986359142234433</v>
      </c>
      <c r="AU341" s="9">
        <f t="shared" si="108"/>
        <v>0.24450549450549458</v>
      </c>
    </row>
    <row r="342" spans="1:47" x14ac:dyDescent="0.35">
      <c r="A342" s="17" t="s">
        <v>9</v>
      </c>
      <c r="B342">
        <v>0.8</v>
      </c>
      <c r="C342">
        <v>0.2</v>
      </c>
      <c r="D342">
        <v>5.4700000000000001E-5</v>
      </c>
      <c r="E342">
        <v>5.94E-5</v>
      </c>
      <c r="F342" s="1">
        <v>0.06</v>
      </c>
      <c r="G342" s="1">
        <v>-8.5000000000000006E-2</v>
      </c>
      <c r="H342" s="1">
        <f t="shared" si="106"/>
        <v>1.4166666666666667</v>
      </c>
      <c r="J342" s="1" t="s">
        <v>9</v>
      </c>
      <c r="K342" s="1">
        <v>0.8</v>
      </c>
      <c r="L342">
        <v>0.2</v>
      </c>
      <c r="M342">
        <v>5.4700000000000001E-5</v>
      </c>
      <c r="N342">
        <v>5.8199999999999998E-5</v>
      </c>
      <c r="O342" s="1">
        <v>0.06</v>
      </c>
      <c r="P342" s="1">
        <v>-6.4199999999999993E-2</v>
      </c>
      <c r="Q342" s="1">
        <f t="shared" si="107"/>
        <v>1.0699999999999998</v>
      </c>
      <c r="S342" t="s">
        <v>9</v>
      </c>
      <c r="T342">
        <v>0.8</v>
      </c>
      <c r="U342">
        <v>0.2</v>
      </c>
      <c r="V342">
        <v>5.4700000000000001E-5</v>
      </c>
      <c r="W342">
        <v>5.7500000000000002E-5</v>
      </c>
      <c r="X342" s="1">
        <v>0.06</v>
      </c>
      <c r="Y342" s="1">
        <v>-5.0500000000000003E-2</v>
      </c>
      <c r="Z342" s="1">
        <f t="shared" si="103"/>
        <v>0.84166666666666679</v>
      </c>
      <c r="AB342" t="s">
        <v>9</v>
      </c>
      <c r="AC342">
        <v>0.8</v>
      </c>
      <c r="AD342">
        <v>0.2</v>
      </c>
      <c r="AE342">
        <v>5.4700000000000001E-5</v>
      </c>
      <c r="AF342">
        <v>5.9299999999999998E-5</v>
      </c>
      <c r="AG342" s="1">
        <v>0.06</v>
      </c>
      <c r="AH342" s="1">
        <v>-8.3900000000000002E-2</v>
      </c>
      <c r="AI342" s="1">
        <f t="shared" si="104"/>
        <v>1.3983333333333334</v>
      </c>
      <c r="AR342" s="10"/>
      <c r="AS342" s="12"/>
      <c r="AT342" s="12">
        <f t="shared" si="105"/>
        <v>1.5578002204356246E-2</v>
      </c>
      <c r="AU342" s="7">
        <f t="shared" si="108"/>
        <v>-7.1297989031078604E-2</v>
      </c>
    </row>
    <row r="343" spans="1:47" x14ac:dyDescent="0.35">
      <c r="A343" s="17" t="s">
        <v>9</v>
      </c>
      <c r="B343">
        <v>4</v>
      </c>
      <c r="C343">
        <v>0.2</v>
      </c>
      <c r="D343">
        <v>6.2399999999999998E-7</v>
      </c>
      <c r="E343">
        <v>6.7999999999999995E-7</v>
      </c>
      <c r="F343" s="1">
        <v>0.35499999999999998</v>
      </c>
      <c r="G343" s="1">
        <v>-8.9700000000000002E-2</v>
      </c>
      <c r="H343" s="1">
        <f t="shared" si="106"/>
        <v>0.2526760563380282</v>
      </c>
      <c r="J343" s="1" t="s">
        <v>9</v>
      </c>
      <c r="K343" s="1">
        <v>4</v>
      </c>
      <c r="L343">
        <v>0.2</v>
      </c>
      <c r="M343">
        <v>6.2399999999999998E-7</v>
      </c>
      <c r="N343">
        <v>9.7999999999999993E-7</v>
      </c>
      <c r="O343" s="1">
        <v>0.35499999999999998</v>
      </c>
      <c r="P343" s="1">
        <v>-0.57050000000000001</v>
      </c>
      <c r="Q343" s="1">
        <f t="shared" si="107"/>
        <v>1.6070422535211268</v>
      </c>
      <c r="S343" t="s">
        <v>9</v>
      </c>
      <c r="T343">
        <v>4</v>
      </c>
      <c r="U343">
        <v>0.2</v>
      </c>
      <c r="V343">
        <v>6.2399999999999998E-7</v>
      </c>
      <c r="W343">
        <v>5.7999999999999995E-7</v>
      </c>
      <c r="X343" s="1">
        <v>0.35499999999999998</v>
      </c>
      <c r="Y343" s="1">
        <v>7.0499999999999993E-2</v>
      </c>
      <c r="Z343" s="1">
        <f t="shared" si="103"/>
        <v>0.19859154929577463</v>
      </c>
      <c r="AB343" t="s">
        <v>9</v>
      </c>
      <c r="AC343">
        <v>4</v>
      </c>
      <c r="AD343">
        <v>0.2</v>
      </c>
      <c r="AE343">
        <v>6.2399999999999998E-7</v>
      </c>
      <c r="AF343">
        <v>8.9999999999999996E-7</v>
      </c>
      <c r="AG343" s="1">
        <v>0.35499999999999998</v>
      </c>
      <c r="AH343" s="1">
        <v>-0.44230000000000003</v>
      </c>
      <c r="AI343" s="1">
        <f t="shared" si="104"/>
        <v>1.2459154929577465</v>
      </c>
      <c r="AR343" s="10"/>
      <c r="AS343" s="12"/>
      <c r="AT343" s="12">
        <f t="shared" si="105"/>
        <v>0.23752639101396175</v>
      </c>
      <c r="AU343" s="7">
        <f t="shared" si="108"/>
        <v>-0.25801282051282037</v>
      </c>
    </row>
    <row r="344" spans="1:47" x14ac:dyDescent="0.35">
      <c r="A344" s="17" t="s">
        <v>9</v>
      </c>
      <c r="B344">
        <v>8</v>
      </c>
      <c r="C344">
        <v>0.2</v>
      </c>
      <c r="D344">
        <v>4.0199999999999998E-9</v>
      </c>
      <c r="E344">
        <v>0</v>
      </c>
      <c r="F344" s="1">
        <v>0.248</v>
      </c>
      <c r="G344" s="1">
        <v>1</v>
      </c>
      <c r="H344" s="1">
        <f t="shared" si="106"/>
        <v>4.032258064516129</v>
      </c>
      <c r="J344" s="1" t="s">
        <v>9</v>
      </c>
      <c r="K344" s="1">
        <v>8</v>
      </c>
      <c r="L344">
        <v>0.2</v>
      </c>
      <c r="M344">
        <v>4.0199999999999998E-9</v>
      </c>
      <c r="N344">
        <v>0</v>
      </c>
      <c r="O344" s="1">
        <v>0.248</v>
      </c>
      <c r="P344" s="1">
        <v>1</v>
      </c>
      <c r="Q344" s="1">
        <f t="shared" si="107"/>
        <v>4.032258064516129</v>
      </c>
      <c r="S344" t="s">
        <v>9</v>
      </c>
      <c r="T344">
        <v>8</v>
      </c>
      <c r="U344">
        <v>0.2</v>
      </c>
      <c r="V344">
        <v>4.0199999999999998E-9</v>
      </c>
      <c r="W344">
        <v>2E-8</v>
      </c>
      <c r="X344" s="1">
        <v>0.248</v>
      </c>
      <c r="Y344" s="1">
        <v>-3.9750999999999999</v>
      </c>
      <c r="Z344" s="1">
        <f t="shared" si="103"/>
        <v>16.028629032258063</v>
      </c>
      <c r="AB344" t="s">
        <v>9</v>
      </c>
      <c r="AC344">
        <v>8</v>
      </c>
      <c r="AD344">
        <v>0.2</v>
      </c>
      <c r="AE344">
        <v>4.0199999999999998E-9</v>
      </c>
      <c r="AF344">
        <v>0</v>
      </c>
      <c r="AG344" s="1">
        <v>0.248</v>
      </c>
      <c r="AH344" s="1">
        <v>1</v>
      </c>
      <c r="AI344" s="1">
        <f t="shared" si="104"/>
        <v>4.032258064516129</v>
      </c>
      <c r="AR344" s="10"/>
      <c r="AS344" s="12"/>
      <c r="AT344" s="12">
        <f t="shared" si="105"/>
        <v>2.0000000000000004</v>
      </c>
      <c r="AU344" s="7">
        <f t="shared" si="108"/>
        <v>-0.2437810945273633</v>
      </c>
    </row>
    <row r="345" spans="1:47" x14ac:dyDescent="0.35">
      <c r="A345" s="17" t="s">
        <v>7</v>
      </c>
      <c r="B345">
        <v>0.1</v>
      </c>
      <c r="C345">
        <v>0.9</v>
      </c>
      <c r="D345">
        <v>0.41299999999999998</v>
      </c>
      <c r="E345">
        <v>0.41299999999999998</v>
      </c>
      <c r="F345" s="1">
        <v>1E-3</v>
      </c>
      <c r="G345" s="1">
        <v>-1.1999999999999999E-3</v>
      </c>
      <c r="H345" s="1">
        <f t="shared" si="106"/>
        <v>1.2</v>
      </c>
      <c r="J345" s="1" t="s">
        <v>7</v>
      </c>
      <c r="K345" s="1">
        <v>0.1</v>
      </c>
      <c r="L345">
        <v>0.9</v>
      </c>
      <c r="M345">
        <v>0.41299999999999998</v>
      </c>
      <c r="N345">
        <v>0.41299999999999998</v>
      </c>
      <c r="O345" s="1">
        <v>1E-3</v>
      </c>
      <c r="P345" s="1">
        <v>-1.1000000000000001E-3</v>
      </c>
      <c r="Q345" s="1">
        <f t="shared" si="107"/>
        <v>1.1000000000000001</v>
      </c>
      <c r="S345" t="s">
        <v>7</v>
      </c>
      <c r="T345">
        <v>0.1</v>
      </c>
      <c r="U345">
        <v>0.9</v>
      </c>
      <c r="V345">
        <v>0.41299999999999998</v>
      </c>
      <c r="W345">
        <v>0.41399999999999998</v>
      </c>
      <c r="X345" s="1">
        <v>1E-3</v>
      </c>
      <c r="Y345" s="1">
        <v>-1.2999999999999999E-3</v>
      </c>
      <c r="Z345" s="1">
        <f t="shared" si="103"/>
        <v>1.2999999999999998</v>
      </c>
      <c r="AB345" t="s">
        <v>7</v>
      </c>
      <c r="AC345">
        <v>0.1</v>
      </c>
      <c r="AD345">
        <v>0.9</v>
      </c>
      <c r="AE345">
        <v>0.41299999999999998</v>
      </c>
      <c r="AF345">
        <v>0.41399999999999998</v>
      </c>
      <c r="AG345" s="1">
        <v>1E-3</v>
      </c>
      <c r="AH345" s="1">
        <v>-1.4E-3</v>
      </c>
      <c r="AI345" s="1">
        <f t="shared" si="104"/>
        <v>1.4</v>
      </c>
      <c r="AR345" s="10"/>
      <c r="AS345" s="12"/>
      <c r="AT345" s="13">
        <f t="shared" si="105"/>
        <v>1.3962521624900275E-3</v>
      </c>
      <c r="AU345" s="8">
        <f t="shared" si="108"/>
        <v>-1.2106537530266355E-3</v>
      </c>
    </row>
    <row r="346" spans="1:47" x14ac:dyDescent="0.35">
      <c r="A346" s="17" t="s">
        <v>7</v>
      </c>
      <c r="B346">
        <v>0.5</v>
      </c>
      <c r="C346">
        <v>0.9</v>
      </c>
      <c r="D346">
        <v>0.187</v>
      </c>
      <c r="E346">
        <v>0.188</v>
      </c>
      <c r="F346" s="1">
        <v>5.0000000000000001E-3</v>
      </c>
      <c r="G346" s="1">
        <v>-6.0000000000000001E-3</v>
      </c>
      <c r="H346" s="1">
        <f t="shared" si="106"/>
        <v>1.2</v>
      </c>
      <c r="J346" s="1" t="s">
        <v>7</v>
      </c>
      <c r="K346" s="1">
        <v>0.5</v>
      </c>
      <c r="L346">
        <v>0.9</v>
      </c>
      <c r="M346">
        <v>0.187</v>
      </c>
      <c r="N346">
        <v>0.188</v>
      </c>
      <c r="O346" s="1">
        <v>5.0000000000000001E-3</v>
      </c>
      <c r="P346" s="1">
        <v>-5.7000000000000002E-3</v>
      </c>
      <c r="Q346" s="1">
        <f t="shared" si="107"/>
        <v>1.1400000000000001</v>
      </c>
      <c r="S346" t="s">
        <v>7</v>
      </c>
      <c r="T346">
        <v>0.5</v>
      </c>
      <c r="U346">
        <v>0.9</v>
      </c>
      <c r="V346">
        <v>0.187</v>
      </c>
      <c r="W346">
        <v>0.188</v>
      </c>
      <c r="X346" s="1">
        <v>5.0000000000000001E-3</v>
      </c>
      <c r="Y346" s="1">
        <v>-6.0000000000000001E-3</v>
      </c>
      <c r="Z346" s="1">
        <f t="shared" si="103"/>
        <v>1.2</v>
      </c>
      <c r="AB346" t="s">
        <v>7</v>
      </c>
      <c r="AC346">
        <v>0.5</v>
      </c>
      <c r="AD346">
        <v>0.9</v>
      </c>
      <c r="AE346">
        <v>0.187</v>
      </c>
      <c r="AF346">
        <v>0.188</v>
      </c>
      <c r="AG346" s="1">
        <v>5.0000000000000001E-3</v>
      </c>
      <c r="AH346" s="1">
        <v>-5.8999999999999999E-3</v>
      </c>
      <c r="AI346" s="1">
        <f t="shared" si="104"/>
        <v>1.18</v>
      </c>
      <c r="AR346" s="10"/>
      <c r="AS346" s="12"/>
      <c r="AT346" s="13">
        <f t="shared" si="105"/>
        <v>0</v>
      </c>
      <c r="AU346" s="8">
        <f t="shared" si="108"/>
        <v>-5.3475935828877054E-3</v>
      </c>
    </row>
    <row r="347" spans="1:47" x14ac:dyDescent="0.35">
      <c r="A347" s="17" t="s">
        <v>7</v>
      </c>
      <c r="B347">
        <v>1</v>
      </c>
      <c r="C347">
        <v>0.9</v>
      </c>
      <c r="D347">
        <v>6.8500000000000005E-2</v>
      </c>
      <c r="E347">
        <v>6.93E-2</v>
      </c>
      <c r="F347" s="1">
        <v>0.01</v>
      </c>
      <c r="G347" s="1">
        <v>-1.21E-2</v>
      </c>
      <c r="H347" s="1">
        <f t="shared" si="106"/>
        <v>1.21</v>
      </c>
      <c r="J347" s="1" t="s">
        <v>7</v>
      </c>
      <c r="K347" s="1">
        <v>1</v>
      </c>
      <c r="L347">
        <v>0.9</v>
      </c>
      <c r="M347">
        <v>6.8500000000000005E-2</v>
      </c>
      <c r="N347">
        <v>6.93E-2</v>
      </c>
      <c r="O347" s="1">
        <v>0.01</v>
      </c>
      <c r="P347" s="1">
        <v>-1.17E-2</v>
      </c>
      <c r="Q347" s="1">
        <f t="shared" si="107"/>
        <v>1.17</v>
      </c>
      <c r="S347" t="s">
        <v>7</v>
      </c>
      <c r="T347">
        <v>1</v>
      </c>
      <c r="U347">
        <v>0.9</v>
      </c>
      <c r="V347">
        <v>6.8500000000000005E-2</v>
      </c>
      <c r="W347">
        <v>6.93E-2</v>
      </c>
      <c r="X347" s="1">
        <v>0.01</v>
      </c>
      <c r="Y347" s="1">
        <v>-1.1599999999999999E-2</v>
      </c>
      <c r="Z347" s="1">
        <f t="shared" si="103"/>
        <v>1.1599999999999999</v>
      </c>
      <c r="AB347" t="s">
        <v>7</v>
      </c>
      <c r="AC347">
        <v>1</v>
      </c>
      <c r="AD347">
        <v>0.9</v>
      </c>
      <c r="AE347">
        <v>6.8500000000000005E-2</v>
      </c>
      <c r="AF347">
        <v>6.93E-2</v>
      </c>
      <c r="AG347" s="1">
        <v>0.01</v>
      </c>
      <c r="AH347" s="1">
        <v>-1.1900000000000001E-2</v>
      </c>
      <c r="AI347" s="1">
        <f t="shared" si="104"/>
        <v>1.1900000000000002</v>
      </c>
      <c r="AR347" s="10"/>
      <c r="AS347" s="12"/>
      <c r="AT347" s="13">
        <f t="shared" si="105"/>
        <v>0</v>
      </c>
      <c r="AU347" s="8">
        <f t="shared" si="108"/>
        <v>-1.1678832116788249E-2</v>
      </c>
    </row>
    <row r="348" spans="1:47" x14ac:dyDescent="0.35">
      <c r="A348" s="17" t="s">
        <v>8</v>
      </c>
      <c r="B348">
        <v>0.1</v>
      </c>
      <c r="C348">
        <v>0.9</v>
      </c>
      <c r="D348">
        <v>9.3100000000000002E-2</v>
      </c>
      <c r="E348">
        <v>8.5300000000000001E-2</v>
      </c>
      <c r="F348" s="1">
        <v>2.1000000000000001E-2</v>
      </c>
      <c r="G348" s="1">
        <v>8.3699999999999997E-2</v>
      </c>
      <c r="H348" s="1">
        <f t="shared" si="106"/>
        <v>3.9857142857142853</v>
      </c>
      <c r="J348" s="1" t="s">
        <v>8</v>
      </c>
      <c r="K348" s="1">
        <v>0.1</v>
      </c>
      <c r="L348">
        <v>0.9</v>
      </c>
      <c r="M348">
        <v>9.3100000000000002E-2</v>
      </c>
      <c r="N348">
        <v>8.5300000000000001E-2</v>
      </c>
      <c r="O348" s="1">
        <v>2.1000000000000001E-2</v>
      </c>
      <c r="P348" s="1">
        <v>8.3799999999999999E-2</v>
      </c>
      <c r="Q348" s="1">
        <f t="shared" si="107"/>
        <v>3.9904761904761901</v>
      </c>
      <c r="S348" t="s">
        <v>8</v>
      </c>
      <c r="T348">
        <v>0.1</v>
      </c>
      <c r="U348">
        <v>0.9</v>
      </c>
      <c r="V348">
        <v>9.3100000000000002E-2</v>
      </c>
      <c r="W348">
        <v>8.5599999999999996E-2</v>
      </c>
      <c r="X348" s="1">
        <v>2.1000000000000001E-2</v>
      </c>
      <c r="Y348" s="1">
        <v>8.0699999999999994E-2</v>
      </c>
      <c r="Z348" s="1">
        <f t="shared" si="103"/>
        <v>3.8428571428571425</v>
      </c>
      <c r="AB348" t="s">
        <v>8</v>
      </c>
      <c r="AC348">
        <v>0.1</v>
      </c>
      <c r="AD348">
        <v>0.9</v>
      </c>
      <c r="AE348">
        <v>9.3100000000000002E-2</v>
      </c>
      <c r="AF348">
        <v>8.5400000000000004E-2</v>
      </c>
      <c r="AG348" s="1">
        <v>2.1000000000000001E-2</v>
      </c>
      <c r="AH348" s="1">
        <v>8.3000000000000004E-2</v>
      </c>
      <c r="AI348" s="1">
        <f t="shared" si="104"/>
        <v>3.9523809523809526</v>
      </c>
      <c r="AR348" s="10"/>
      <c r="AS348" s="12"/>
      <c r="AT348" s="14">
        <f t="shared" si="105"/>
        <v>1.6559877779544149E-3</v>
      </c>
      <c r="AU348" s="9">
        <f t="shared" si="108"/>
        <v>8.2706766917293367E-2</v>
      </c>
    </row>
    <row r="349" spans="1:47" x14ac:dyDescent="0.35">
      <c r="A349" s="17" t="s">
        <v>8</v>
      </c>
      <c r="B349">
        <v>0.5</v>
      </c>
      <c r="C349">
        <v>0.9</v>
      </c>
      <c r="D349">
        <v>4.6300000000000001E-2</v>
      </c>
      <c r="E349">
        <v>4.24E-2</v>
      </c>
      <c r="F349" s="1">
        <v>1.7000000000000001E-2</v>
      </c>
      <c r="G349" s="1">
        <v>8.4099999999999994E-2</v>
      </c>
      <c r="H349" s="1">
        <f t="shared" si="106"/>
        <v>4.9470588235294111</v>
      </c>
      <c r="J349" s="1" t="s">
        <v>8</v>
      </c>
      <c r="K349" s="1">
        <v>0.5</v>
      </c>
      <c r="L349">
        <v>0.9</v>
      </c>
      <c r="M349">
        <v>4.6300000000000001E-2</v>
      </c>
      <c r="N349">
        <v>4.2500000000000003E-2</v>
      </c>
      <c r="O349" s="1">
        <v>1.7000000000000001E-2</v>
      </c>
      <c r="P349" s="1">
        <v>8.2100000000000006E-2</v>
      </c>
      <c r="Q349" s="1">
        <f t="shared" si="107"/>
        <v>4.8294117647058821</v>
      </c>
      <c r="S349" t="s">
        <v>8</v>
      </c>
      <c r="T349">
        <v>0.5</v>
      </c>
      <c r="U349">
        <v>0.9</v>
      </c>
      <c r="V349">
        <v>4.6300000000000001E-2</v>
      </c>
      <c r="W349">
        <v>4.24E-2</v>
      </c>
      <c r="X349" s="1">
        <v>1.7000000000000001E-2</v>
      </c>
      <c r="Y349" s="1">
        <v>8.3299999999999999E-2</v>
      </c>
      <c r="Z349" s="1">
        <f t="shared" si="103"/>
        <v>4.8999999999999995</v>
      </c>
      <c r="AB349" t="s">
        <v>8</v>
      </c>
      <c r="AC349">
        <v>0.5</v>
      </c>
      <c r="AD349">
        <v>0.9</v>
      </c>
      <c r="AE349">
        <v>4.6300000000000001E-2</v>
      </c>
      <c r="AF349">
        <v>4.2299999999999997E-2</v>
      </c>
      <c r="AG349" s="1">
        <v>1.7000000000000001E-2</v>
      </c>
      <c r="AH349" s="1">
        <v>8.6300000000000002E-2</v>
      </c>
      <c r="AI349" s="1">
        <f t="shared" si="104"/>
        <v>5.0764705882352938</v>
      </c>
      <c r="AR349" s="10"/>
      <c r="AS349" s="12"/>
      <c r="AT349" s="14">
        <f t="shared" si="105"/>
        <v>1.9256994833201637E-3</v>
      </c>
      <c r="AU349" s="9">
        <f t="shared" si="108"/>
        <v>8.4233261339092882E-2</v>
      </c>
    </row>
    <row r="350" spans="1:47" x14ac:dyDescent="0.35">
      <c r="A350" s="17" t="s">
        <v>8</v>
      </c>
      <c r="B350">
        <v>1</v>
      </c>
      <c r="C350">
        <v>0.9</v>
      </c>
      <c r="D350">
        <v>1.6500000000000001E-2</v>
      </c>
      <c r="E350">
        <v>1.5100000000000001E-2</v>
      </c>
      <c r="F350" s="1">
        <v>1.4E-2</v>
      </c>
      <c r="G350" s="1">
        <v>8.1900000000000001E-2</v>
      </c>
      <c r="H350" s="1">
        <f t="shared" si="106"/>
        <v>5.85</v>
      </c>
      <c r="J350" s="1" t="s">
        <v>8</v>
      </c>
      <c r="K350" s="1">
        <v>1</v>
      </c>
      <c r="L350">
        <v>0.9</v>
      </c>
      <c r="M350">
        <v>1.6500000000000001E-2</v>
      </c>
      <c r="N350">
        <v>1.52E-2</v>
      </c>
      <c r="O350" s="1">
        <v>1.4E-2</v>
      </c>
      <c r="P350" s="1">
        <v>8.0500000000000002E-2</v>
      </c>
      <c r="Q350" s="1">
        <f t="shared" si="107"/>
        <v>5.75</v>
      </c>
      <c r="S350" t="s">
        <v>8</v>
      </c>
      <c r="T350">
        <v>1</v>
      </c>
      <c r="U350">
        <v>0.9</v>
      </c>
      <c r="V350">
        <v>1.6500000000000001E-2</v>
      </c>
      <c r="W350">
        <v>1.52E-2</v>
      </c>
      <c r="X350" s="1">
        <v>1.4E-2</v>
      </c>
      <c r="Y350" s="1">
        <v>8.0600000000000005E-2</v>
      </c>
      <c r="Z350" s="1">
        <f t="shared" si="103"/>
        <v>5.7571428571428571</v>
      </c>
      <c r="AB350" t="s">
        <v>8</v>
      </c>
      <c r="AC350">
        <v>1</v>
      </c>
      <c r="AD350">
        <v>0.9</v>
      </c>
      <c r="AE350">
        <v>1.6500000000000001E-2</v>
      </c>
      <c r="AF350">
        <v>1.52E-2</v>
      </c>
      <c r="AG350" s="1">
        <v>1.4E-2</v>
      </c>
      <c r="AH350" s="1">
        <v>7.9299999999999995E-2</v>
      </c>
      <c r="AI350" s="1">
        <f t="shared" si="104"/>
        <v>5.6642857142857137</v>
      </c>
      <c r="AR350" s="10"/>
      <c r="AS350" s="12"/>
      <c r="AT350" s="14">
        <f t="shared" si="105"/>
        <v>3.2948929159802103E-3</v>
      </c>
      <c r="AU350" s="9">
        <f t="shared" si="108"/>
        <v>8.0303030303030293E-2</v>
      </c>
    </row>
    <row r="351" spans="1:47" x14ac:dyDescent="0.35">
      <c r="A351" s="17" t="s">
        <v>9</v>
      </c>
      <c r="B351">
        <v>0.1</v>
      </c>
      <c r="C351">
        <v>0.9</v>
      </c>
      <c r="D351">
        <v>6.9899999999999997E-3</v>
      </c>
      <c r="E351">
        <v>7.11E-3</v>
      </c>
      <c r="F351" s="1">
        <v>6.3E-2</v>
      </c>
      <c r="G351" s="1">
        <v>-1.67E-2</v>
      </c>
      <c r="H351" s="1">
        <f t="shared" si="106"/>
        <v>0.26507936507936508</v>
      </c>
      <c r="J351" t="s">
        <v>9</v>
      </c>
      <c r="K351">
        <v>0.1</v>
      </c>
      <c r="L351">
        <v>0.9</v>
      </c>
      <c r="M351">
        <v>6.9899999999999997E-3</v>
      </c>
      <c r="N351">
        <v>7.1700000000000002E-3</v>
      </c>
      <c r="O351" s="1">
        <v>6.3E-2</v>
      </c>
      <c r="P351" s="1">
        <v>-2.5399999999999999E-2</v>
      </c>
      <c r="Q351" s="1">
        <f t="shared" si="107"/>
        <v>0.40317460317460313</v>
      </c>
      <c r="S351" t="s">
        <v>9</v>
      </c>
      <c r="T351">
        <v>0.1</v>
      </c>
      <c r="U351">
        <v>0.9</v>
      </c>
      <c r="V351">
        <v>6.9899999999999997E-3</v>
      </c>
      <c r="W351">
        <v>7.1500000000000001E-3</v>
      </c>
      <c r="X351" s="1">
        <v>6.3E-2</v>
      </c>
      <c r="Y351" s="1">
        <v>-2.2700000000000001E-2</v>
      </c>
      <c r="Z351" s="1">
        <f t="shared" si="103"/>
        <v>0.36031746031746031</v>
      </c>
      <c r="AB351" t="s">
        <v>9</v>
      </c>
      <c r="AC351">
        <v>0.1</v>
      </c>
      <c r="AD351">
        <v>0.9</v>
      </c>
      <c r="AE351">
        <v>6.9899999999999997E-3</v>
      </c>
      <c r="AF351">
        <v>7.1399999999999996E-3</v>
      </c>
      <c r="AG351" s="1">
        <v>6.3E-2</v>
      </c>
      <c r="AH351" s="1">
        <v>-2.1299999999999999E-2</v>
      </c>
      <c r="AI351" s="1">
        <f t="shared" si="104"/>
        <v>0.33809523809523806</v>
      </c>
      <c r="AR351" s="10"/>
      <c r="AS351" s="12"/>
      <c r="AT351" s="12">
        <f t="shared" si="105"/>
        <v>3.5001750087504486E-3</v>
      </c>
      <c r="AU351" s="7">
        <f t="shared" si="108"/>
        <v>-2.1816881258941326E-2</v>
      </c>
    </row>
    <row r="352" spans="1:47" x14ac:dyDescent="0.35">
      <c r="A352" s="17" t="s">
        <v>9</v>
      </c>
      <c r="B352">
        <v>0.5</v>
      </c>
      <c r="C352">
        <v>0.9</v>
      </c>
      <c r="D352">
        <v>3.29E-3</v>
      </c>
      <c r="E352">
        <v>3.2699999999999999E-3</v>
      </c>
      <c r="F352" s="1">
        <v>5.5E-2</v>
      </c>
      <c r="G352" s="1">
        <v>6.7999999999999996E-3</v>
      </c>
      <c r="H352" s="1">
        <f t="shared" si="106"/>
        <v>0.12363636363636363</v>
      </c>
      <c r="J352" t="s">
        <v>9</v>
      </c>
      <c r="K352">
        <v>0.5</v>
      </c>
      <c r="L352">
        <v>0.9</v>
      </c>
      <c r="M352">
        <v>3.29E-3</v>
      </c>
      <c r="N352">
        <v>3.2499999999999999E-3</v>
      </c>
      <c r="O352" s="1">
        <v>5.5E-2</v>
      </c>
      <c r="P352" s="1">
        <v>1.23E-2</v>
      </c>
      <c r="Q352" s="1">
        <f t="shared" si="107"/>
        <v>0.22363636363636363</v>
      </c>
      <c r="S352" t="s">
        <v>9</v>
      </c>
      <c r="T352">
        <v>0.5</v>
      </c>
      <c r="U352">
        <v>0.9</v>
      </c>
      <c r="V352">
        <v>3.29E-3</v>
      </c>
      <c r="W352">
        <v>3.2799999999999999E-3</v>
      </c>
      <c r="X352" s="1">
        <v>5.5E-2</v>
      </c>
      <c r="Y352" s="1">
        <v>3.3999999999999998E-3</v>
      </c>
      <c r="Z352" s="1">
        <f t="shared" si="103"/>
        <v>6.1818181818181814E-2</v>
      </c>
      <c r="AB352" t="s">
        <v>9</v>
      </c>
      <c r="AC352">
        <v>0.5</v>
      </c>
      <c r="AD352">
        <v>0.9</v>
      </c>
      <c r="AE352">
        <v>3.29E-3</v>
      </c>
      <c r="AF352">
        <v>3.2799999999999999E-3</v>
      </c>
      <c r="AG352" s="1">
        <v>5.5E-2</v>
      </c>
      <c r="AH352" s="1">
        <v>2.7000000000000001E-3</v>
      </c>
      <c r="AI352" s="1">
        <f t="shared" si="104"/>
        <v>4.9090909090909095E-2</v>
      </c>
      <c r="AR352" s="10"/>
      <c r="AS352" s="12"/>
      <c r="AT352" s="12">
        <f t="shared" si="105"/>
        <v>4.3248121173489256E-3</v>
      </c>
      <c r="AU352" s="7">
        <f t="shared" si="108"/>
        <v>6.0790273556231168E-3</v>
      </c>
    </row>
    <row r="353" spans="1:54" x14ac:dyDescent="0.35">
      <c r="A353" s="17" t="s">
        <v>9</v>
      </c>
      <c r="B353">
        <v>1</v>
      </c>
      <c r="C353">
        <v>0.9</v>
      </c>
      <c r="D353">
        <v>1.2099999999999999E-3</v>
      </c>
      <c r="E353">
        <v>1.1900000000000001E-3</v>
      </c>
      <c r="F353" s="1">
        <v>0.109</v>
      </c>
      <c r="G353" s="1">
        <v>1.5299999999999999E-2</v>
      </c>
      <c r="H353" s="1">
        <f t="shared" si="106"/>
        <v>0.14036697247706423</v>
      </c>
      <c r="J353" t="s">
        <v>9</v>
      </c>
      <c r="K353">
        <v>1</v>
      </c>
      <c r="L353">
        <v>0.9</v>
      </c>
      <c r="M353">
        <v>1.2099999999999999E-3</v>
      </c>
      <c r="N353">
        <v>1.1800000000000001E-3</v>
      </c>
      <c r="O353" s="1">
        <v>0.109</v>
      </c>
      <c r="P353" s="1">
        <v>2.1999999999999999E-2</v>
      </c>
      <c r="Q353" s="1">
        <f t="shared" si="107"/>
        <v>0.20183486238532108</v>
      </c>
      <c r="S353" t="s">
        <v>9</v>
      </c>
      <c r="T353">
        <v>1</v>
      </c>
      <c r="U353">
        <v>0.9</v>
      </c>
      <c r="V353">
        <v>1.2099999999999999E-3</v>
      </c>
      <c r="W353">
        <v>1.1900000000000001E-3</v>
      </c>
      <c r="X353" s="1">
        <v>0.109</v>
      </c>
      <c r="Y353" s="1">
        <v>2.0400000000000001E-2</v>
      </c>
      <c r="Z353" s="1">
        <f t="shared" si="103"/>
        <v>0.1871559633027523</v>
      </c>
      <c r="AB353" t="s">
        <v>9</v>
      </c>
      <c r="AC353">
        <v>1</v>
      </c>
      <c r="AD353">
        <v>0.9</v>
      </c>
      <c r="AE353">
        <v>1.2099999999999999E-3</v>
      </c>
      <c r="AF353">
        <v>1.2099999999999999E-3</v>
      </c>
      <c r="AG353" s="1">
        <v>0.109</v>
      </c>
      <c r="AH353" s="1">
        <v>1.9E-3</v>
      </c>
      <c r="AI353" s="1">
        <f t="shared" si="104"/>
        <v>1.743119266055046E-2</v>
      </c>
      <c r="AR353" s="10"/>
      <c r="AS353" s="12"/>
      <c r="AT353" s="12">
        <f>STDEV(AO353,AF353,W353,N353,E353)/ AVERAGE(AO353,AF353,W353,N353,E353)</f>
        <v>1.0551830098212032E-2</v>
      </c>
      <c r="AU353" s="7">
        <f t="shared" si="108"/>
        <v>1.4462809917355322E-2</v>
      </c>
    </row>
    <row r="354" spans="1:54" x14ac:dyDescent="0.35">
      <c r="AR354" s="10"/>
      <c r="AS354" s="12"/>
      <c r="AT354" s="7"/>
      <c r="AU354"/>
    </row>
    <row r="355" spans="1:54" x14ac:dyDescent="0.35">
      <c r="A355" s="6" t="s">
        <v>28</v>
      </c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</row>
    <row r="356" spans="1:54" x14ac:dyDescent="0.35">
      <c r="A356" s="17" t="s">
        <v>0</v>
      </c>
      <c r="B356" t="s">
        <v>1</v>
      </c>
      <c r="C356" t="s">
        <v>2</v>
      </c>
      <c r="D356" t="s">
        <v>3</v>
      </c>
      <c r="E356" t="s">
        <v>4</v>
      </c>
      <c r="F356" t="s">
        <v>5</v>
      </c>
      <c r="G356" t="s">
        <v>6</v>
      </c>
      <c r="J356" t="s">
        <v>0</v>
      </c>
      <c r="K356" t="s">
        <v>1</v>
      </c>
      <c r="L356" t="s">
        <v>2</v>
      </c>
      <c r="M356" t="s">
        <v>3</v>
      </c>
      <c r="N356" t="s">
        <v>4</v>
      </c>
      <c r="O356" t="s">
        <v>5</v>
      </c>
      <c r="P356" t="s">
        <v>6</v>
      </c>
      <c r="S356" t="s">
        <v>0</v>
      </c>
      <c r="T356" t="s">
        <v>1</v>
      </c>
      <c r="U356" t="s">
        <v>2</v>
      </c>
      <c r="V356" t="s">
        <v>3</v>
      </c>
      <c r="W356" t="s">
        <v>4</v>
      </c>
      <c r="X356" t="s">
        <v>5</v>
      </c>
      <c r="Y356" t="s">
        <v>6</v>
      </c>
      <c r="AN356" s="6" t="s">
        <v>28</v>
      </c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</row>
    <row r="357" spans="1:54" x14ac:dyDescent="0.35">
      <c r="A357" s="17" t="s">
        <v>7</v>
      </c>
      <c r="B357">
        <v>0.8</v>
      </c>
      <c r="C357">
        <v>0.2</v>
      </c>
      <c r="D357">
        <v>0.16200000000000001</v>
      </c>
      <c r="E357">
        <v>0.16200000000000001</v>
      </c>
      <c r="F357" s="1">
        <v>0</v>
      </c>
      <c r="G357" s="1">
        <v>-8.0000000000000004E-4</v>
      </c>
      <c r="H357" s="1" t="e">
        <f>ABS(G357/F357)</f>
        <v>#DIV/0!</v>
      </c>
      <c r="J357" t="s">
        <v>7</v>
      </c>
      <c r="K357">
        <v>0.8</v>
      </c>
      <c r="L357">
        <v>0.2</v>
      </c>
      <c r="M357">
        <v>0.16200000000000001</v>
      </c>
      <c r="N357">
        <v>0.16200000000000001</v>
      </c>
      <c r="O357" s="1">
        <v>0</v>
      </c>
      <c r="P357" s="1">
        <v>-1E-3</v>
      </c>
      <c r="Q357" s="1" t="e">
        <f>ABS(P357/O357)</f>
        <v>#DIV/0!</v>
      </c>
      <c r="S357" t="s">
        <v>7</v>
      </c>
      <c r="T357">
        <v>0.8</v>
      </c>
      <c r="U357">
        <v>0.2</v>
      </c>
      <c r="V357">
        <v>0.16200000000000001</v>
      </c>
      <c r="W357">
        <v>0.16200000000000001</v>
      </c>
      <c r="X357" s="1">
        <v>0</v>
      </c>
      <c r="Y357" s="1">
        <v>-4.0000000000000002E-4</v>
      </c>
      <c r="Z357" s="1" t="e">
        <f>ABS(Y357/X357)</f>
        <v>#DIV/0!</v>
      </c>
      <c r="AR357" s="10"/>
      <c r="AS357" s="12"/>
      <c r="AT357" s="13">
        <f t="shared" ref="AT357:AT373" si="109">STDEV(AO357,AF357,W357,N357,E357)/ AVERAGE(AO357,AF357,W357,N357,E357)</f>
        <v>0</v>
      </c>
      <c r="AU357" s="8">
        <f>( D357 - AVERAGE(AO357,AF357,W357,N357,E357))/ D357</f>
        <v>0</v>
      </c>
    </row>
    <row r="358" spans="1:54" x14ac:dyDescent="0.35">
      <c r="A358" s="17" t="s">
        <v>7</v>
      </c>
      <c r="B358">
        <v>4</v>
      </c>
      <c r="C358">
        <v>0.2</v>
      </c>
      <c r="D358">
        <v>2.2699999999999999E-3</v>
      </c>
      <c r="E358">
        <v>2.2799999999999999E-3</v>
      </c>
      <c r="F358" s="1">
        <v>2E-3</v>
      </c>
      <c r="G358" s="1">
        <v>-2.8E-3</v>
      </c>
      <c r="H358" s="1">
        <f t="shared" ref="H358:H374" si="110">ABS(G358/F358)</f>
        <v>1.4</v>
      </c>
      <c r="J358" t="s">
        <v>7</v>
      </c>
      <c r="K358">
        <v>4</v>
      </c>
      <c r="L358">
        <v>0.2</v>
      </c>
      <c r="M358">
        <v>2.2699999999999999E-3</v>
      </c>
      <c r="N358">
        <v>2.2699999999999999E-3</v>
      </c>
      <c r="O358" s="1">
        <v>2E-3</v>
      </c>
      <c r="P358" s="1">
        <v>-1.8E-3</v>
      </c>
      <c r="Q358" s="1">
        <f t="shared" ref="Q358:Q374" si="111">ABS(P358/O358)</f>
        <v>0.89999999999999991</v>
      </c>
      <c r="S358" t="s">
        <v>7</v>
      </c>
      <c r="T358">
        <v>4</v>
      </c>
      <c r="U358">
        <v>0.2</v>
      </c>
      <c r="V358">
        <v>2.2699999999999999E-3</v>
      </c>
      <c r="W358">
        <v>2.2799999999999999E-3</v>
      </c>
      <c r="X358" s="1">
        <v>2E-3</v>
      </c>
      <c r="Y358" s="1">
        <v>-5.1999999999999998E-3</v>
      </c>
      <c r="Z358" s="1">
        <f t="shared" ref="Z358:Z374" si="112">ABS(Y358/X358)</f>
        <v>2.5999999999999996</v>
      </c>
      <c r="AR358" s="10"/>
      <c r="AS358" s="12"/>
      <c r="AT358" s="13">
        <f t="shared" si="109"/>
        <v>2.5359455454888459E-3</v>
      </c>
      <c r="AU358" s="8">
        <f t="shared" ref="AU358:AU374" si="113">( D358 - AVERAGE(AO358,AF358,W358,N358,E358))/ D358</f>
        <v>-2.9368575624083583E-3</v>
      </c>
    </row>
    <row r="359" spans="1:54" x14ac:dyDescent="0.35">
      <c r="A359" s="17" t="s">
        <v>7</v>
      </c>
      <c r="B359">
        <v>8</v>
      </c>
      <c r="C359">
        <v>0.2</v>
      </c>
      <c r="D359">
        <v>1.2999999999999999E-5</v>
      </c>
      <c r="E359">
        <v>1.3200000000000001E-5</v>
      </c>
      <c r="F359" s="1">
        <v>4.7E-2</v>
      </c>
      <c r="G359" s="1">
        <v>-1.46E-2</v>
      </c>
      <c r="H359" s="1">
        <f t="shared" si="110"/>
        <v>0.31063829787234043</v>
      </c>
      <c r="J359" t="s">
        <v>7</v>
      </c>
      <c r="K359">
        <v>8</v>
      </c>
      <c r="L359">
        <v>0.2</v>
      </c>
      <c r="M359">
        <v>1.2999999999999999E-5</v>
      </c>
      <c r="N359">
        <v>1.3200000000000001E-5</v>
      </c>
      <c r="O359" s="1">
        <v>4.7E-2</v>
      </c>
      <c r="P359" s="1">
        <v>-1.23E-2</v>
      </c>
      <c r="Q359" s="1">
        <f t="shared" si="111"/>
        <v>0.26170212765957446</v>
      </c>
      <c r="S359" t="s">
        <v>7</v>
      </c>
      <c r="T359">
        <v>8</v>
      </c>
      <c r="U359">
        <v>0.2</v>
      </c>
      <c r="V359">
        <v>1.2999999999999999E-5</v>
      </c>
      <c r="W359">
        <v>1.31E-5</v>
      </c>
      <c r="X359" s="1">
        <v>4.7E-2</v>
      </c>
      <c r="Y359" s="1">
        <v>-5.4000000000000003E-3</v>
      </c>
      <c r="Z359" s="1">
        <f t="shared" si="112"/>
        <v>0.1148936170212766</v>
      </c>
      <c r="AR359" s="10"/>
      <c r="AS359" s="12"/>
      <c r="AT359" s="13">
        <f t="shared" si="109"/>
        <v>4.3849387533389612E-3</v>
      </c>
      <c r="AU359" s="8">
        <f t="shared" si="113"/>
        <v>-1.2820512820513046E-2</v>
      </c>
    </row>
    <row r="360" spans="1:54" x14ac:dyDescent="0.35">
      <c r="A360" s="17" t="s">
        <v>8</v>
      </c>
      <c r="B360">
        <v>0.8</v>
      </c>
      <c r="C360">
        <v>0.2</v>
      </c>
      <c r="D360">
        <v>9.6599999999999995E-4</v>
      </c>
      <c r="E360">
        <v>9.4200000000000002E-4</v>
      </c>
      <c r="F360" s="1">
        <v>2.3E-2</v>
      </c>
      <c r="G360" s="1">
        <v>2.53E-2</v>
      </c>
      <c r="H360" s="1">
        <f t="shared" si="110"/>
        <v>1.1000000000000001</v>
      </c>
      <c r="J360" s="1" t="s">
        <v>8</v>
      </c>
      <c r="K360">
        <v>0.8</v>
      </c>
      <c r="L360">
        <v>0.2</v>
      </c>
      <c r="M360">
        <v>9.6599999999999995E-4</v>
      </c>
      <c r="N360">
        <v>9.2000000000000003E-4</v>
      </c>
      <c r="O360" s="1">
        <v>2.3E-2</v>
      </c>
      <c r="P360" s="1">
        <v>4.7399999999999998E-2</v>
      </c>
      <c r="Q360" s="1">
        <f t="shared" si="111"/>
        <v>2.0608695652173914</v>
      </c>
      <c r="S360" t="s">
        <v>8</v>
      </c>
      <c r="T360">
        <v>0.8</v>
      </c>
      <c r="U360">
        <v>0.2</v>
      </c>
      <c r="V360">
        <v>9.6599999999999995E-4</v>
      </c>
      <c r="W360">
        <v>9.3700000000000001E-4</v>
      </c>
      <c r="X360" s="1">
        <v>2.3E-2</v>
      </c>
      <c r="Y360" s="1">
        <v>3.0099999999999998E-2</v>
      </c>
      <c r="Z360" s="1">
        <f t="shared" si="112"/>
        <v>1.308695652173913</v>
      </c>
      <c r="AR360" s="10"/>
      <c r="AS360" s="12"/>
      <c r="AT360" s="14">
        <f t="shared" si="109"/>
        <v>1.2360731612723245E-2</v>
      </c>
      <c r="AU360" s="9">
        <f t="shared" si="113"/>
        <v>3.4161490683229635E-2</v>
      </c>
    </row>
    <row r="361" spans="1:54" x14ac:dyDescent="0.35">
      <c r="A361" s="17" t="s">
        <v>8</v>
      </c>
      <c r="B361">
        <v>4</v>
      </c>
      <c r="C361">
        <v>0.2</v>
      </c>
      <c r="D361">
        <v>1.3699999999999999E-5</v>
      </c>
      <c r="E361">
        <v>1.33E-5</v>
      </c>
      <c r="F361" s="1">
        <v>6.3E-2</v>
      </c>
      <c r="G361" s="1">
        <v>2.63E-2</v>
      </c>
      <c r="H361" s="1">
        <f t="shared" si="110"/>
        <v>0.41746031746031748</v>
      </c>
      <c r="I361" s="1"/>
      <c r="J361" s="1" t="s">
        <v>8</v>
      </c>
      <c r="K361">
        <v>4</v>
      </c>
      <c r="L361">
        <v>0.2</v>
      </c>
      <c r="M361">
        <v>1.3699999999999999E-5</v>
      </c>
      <c r="N361">
        <v>1.42E-5</v>
      </c>
      <c r="O361" s="1">
        <v>6.3E-2</v>
      </c>
      <c r="P361" s="1">
        <v>-4.0099999999999997E-2</v>
      </c>
      <c r="Q361" s="1">
        <f t="shared" si="111"/>
        <v>0.63650793650793647</v>
      </c>
      <c r="S361" t="s">
        <v>8</v>
      </c>
      <c r="T361">
        <v>4</v>
      </c>
      <c r="U361">
        <v>0.2</v>
      </c>
      <c r="V361">
        <v>1.3699999999999999E-5</v>
      </c>
      <c r="W361">
        <v>1.34E-5</v>
      </c>
      <c r="X361" s="1">
        <v>6.3E-2</v>
      </c>
      <c r="Y361" s="1">
        <v>2.5499999999999998E-2</v>
      </c>
      <c r="Z361" s="1">
        <f t="shared" si="112"/>
        <v>0.40476190476190471</v>
      </c>
      <c r="AR361" s="10"/>
      <c r="AS361" s="12"/>
      <c r="AT361" s="14">
        <f t="shared" si="109"/>
        <v>3.6182514882515247E-2</v>
      </c>
      <c r="AU361" s="9">
        <f t="shared" si="113"/>
        <v>4.8661800486618362E-3</v>
      </c>
    </row>
    <row r="362" spans="1:54" x14ac:dyDescent="0.35">
      <c r="A362" s="17" t="s">
        <v>8</v>
      </c>
      <c r="B362">
        <v>8</v>
      </c>
      <c r="C362">
        <v>0.2</v>
      </c>
      <c r="D362">
        <v>7.2800000000000003E-8</v>
      </c>
      <c r="E362">
        <v>8.9999999999999999E-8</v>
      </c>
      <c r="F362" s="1">
        <v>0.187</v>
      </c>
      <c r="G362" s="1">
        <v>-0.23630000000000001</v>
      </c>
      <c r="H362" s="1">
        <f t="shared" si="110"/>
        <v>1.2636363636363637</v>
      </c>
      <c r="I362" s="1"/>
      <c r="J362" s="1" t="s">
        <v>8</v>
      </c>
      <c r="K362">
        <v>8</v>
      </c>
      <c r="L362">
        <v>0.2</v>
      </c>
      <c r="M362">
        <v>7.2800000000000003E-8</v>
      </c>
      <c r="N362">
        <v>4.0000000000000001E-8</v>
      </c>
      <c r="O362" s="1">
        <v>0.187</v>
      </c>
      <c r="P362" s="1">
        <v>0.45050000000000001</v>
      </c>
      <c r="Q362" s="1">
        <f t="shared" si="111"/>
        <v>2.4090909090909092</v>
      </c>
      <c r="S362" t="s">
        <v>8</v>
      </c>
      <c r="T362">
        <v>8</v>
      </c>
      <c r="U362">
        <v>0.2</v>
      </c>
      <c r="V362">
        <v>7.2800000000000003E-8</v>
      </c>
      <c r="W362">
        <v>7.0000000000000005E-8</v>
      </c>
      <c r="X362" s="1">
        <v>0.187</v>
      </c>
      <c r="Y362" s="1">
        <v>3.85E-2</v>
      </c>
      <c r="Z362" s="1">
        <f t="shared" si="112"/>
        <v>0.20588235294117646</v>
      </c>
      <c r="AR362" s="10"/>
      <c r="AS362" s="12"/>
      <c r="AT362" s="14">
        <f t="shared" si="109"/>
        <v>0.37749172176353746</v>
      </c>
      <c r="AU362" s="9">
        <f t="shared" si="113"/>
        <v>8.4249084249084269E-2</v>
      </c>
    </row>
    <row r="363" spans="1:54" x14ac:dyDescent="0.35">
      <c r="A363" s="17" t="s">
        <v>9</v>
      </c>
      <c r="B363">
        <v>0.8</v>
      </c>
      <c r="C363">
        <v>0.2</v>
      </c>
      <c r="D363">
        <v>5.4700000000000001E-5</v>
      </c>
      <c r="E363">
        <v>5.38E-5</v>
      </c>
      <c r="F363" s="1">
        <v>0.06</v>
      </c>
      <c r="G363" s="1">
        <v>1.7399999999999999E-2</v>
      </c>
      <c r="H363" s="1">
        <f t="shared" si="110"/>
        <v>0.28999999999999998</v>
      </c>
      <c r="I363" s="1"/>
      <c r="J363" s="1" t="s">
        <v>9</v>
      </c>
      <c r="K363">
        <v>0.8</v>
      </c>
      <c r="L363">
        <v>0.2</v>
      </c>
      <c r="M363">
        <v>5.4700000000000001E-5</v>
      </c>
      <c r="N363" s="1">
        <v>5.6799999999999998E-5</v>
      </c>
      <c r="O363" s="1">
        <v>0.06</v>
      </c>
      <c r="P363" s="1">
        <v>-3.8600000000000002E-2</v>
      </c>
      <c r="Q363" s="1">
        <f t="shared" si="111"/>
        <v>0.64333333333333342</v>
      </c>
      <c r="S363" t="s">
        <v>9</v>
      </c>
      <c r="T363">
        <v>0.8</v>
      </c>
      <c r="U363">
        <v>0.2</v>
      </c>
      <c r="V363">
        <v>5.4700000000000001E-5</v>
      </c>
      <c r="W363">
        <v>5.52E-5</v>
      </c>
      <c r="X363" s="1">
        <v>0.06</v>
      </c>
      <c r="Y363" s="1">
        <v>-8.3999999999999995E-3</v>
      </c>
      <c r="Z363" s="1">
        <f t="shared" si="112"/>
        <v>0.13999999999999999</v>
      </c>
      <c r="AR363" s="10"/>
      <c r="AS363" s="12"/>
      <c r="AT363" s="12">
        <f t="shared" si="109"/>
        <v>2.7161230999270678E-2</v>
      </c>
      <c r="AU363" s="7">
        <f t="shared" si="113"/>
        <v>-1.035953686776348E-2</v>
      </c>
    </row>
    <row r="364" spans="1:54" x14ac:dyDescent="0.35">
      <c r="A364" s="17" t="s">
        <v>9</v>
      </c>
      <c r="B364">
        <v>4</v>
      </c>
      <c r="C364">
        <v>0.2</v>
      </c>
      <c r="D364">
        <v>6.2399999999999998E-7</v>
      </c>
      <c r="E364">
        <v>1.0699999999999999E-6</v>
      </c>
      <c r="F364" s="1">
        <v>0.35499999999999998</v>
      </c>
      <c r="G364" s="1">
        <v>-0.7147</v>
      </c>
      <c r="H364" s="1">
        <f t="shared" si="110"/>
        <v>2.0132394366197186</v>
      </c>
      <c r="I364" s="1"/>
      <c r="J364" s="1" t="s">
        <v>9</v>
      </c>
      <c r="K364">
        <v>4</v>
      </c>
      <c r="L364">
        <v>0.2</v>
      </c>
      <c r="M364">
        <v>6.2399999999999998E-7</v>
      </c>
      <c r="N364" s="1">
        <v>8.7000000000000003E-7</v>
      </c>
      <c r="O364" s="1">
        <v>0.35499999999999998</v>
      </c>
      <c r="P364" s="1">
        <v>-0.39419999999999999</v>
      </c>
      <c r="Q364" s="1">
        <f t="shared" si="111"/>
        <v>1.1104225352112675</v>
      </c>
      <c r="S364" t="s">
        <v>9</v>
      </c>
      <c r="T364">
        <v>4</v>
      </c>
      <c r="U364">
        <v>0.2</v>
      </c>
      <c r="V364">
        <v>6.2399999999999998E-7</v>
      </c>
      <c r="W364">
        <v>1.1200000000000001E-6</v>
      </c>
      <c r="X364" s="1">
        <v>0.35499999999999998</v>
      </c>
      <c r="Y364" s="1">
        <v>-0.79490000000000005</v>
      </c>
      <c r="Z364" s="1">
        <f t="shared" si="112"/>
        <v>2.2391549295774649</v>
      </c>
      <c r="AR364" s="10"/>
      <c r="AS364" s="12"/>
      <c r="AT364" s="12">
        <f t="shared" si="109"/>
        <v>0.12969369171885248</v>
      </c>
      <c r="AU364" s="7">
        <f t="shared" si="113"/>
        <v>-0.63461538461538469</v>
      </c>
    </row>
    <row r="365" spans="1:54" x14ac:dyDescent="0.35">
      <c r="A365" s="17" t="s">
        <v>9</v>
      </c>
      <c r="B365">
        <v>8</v>
      </c>
      <c r="C365">
        <v>0.2</v>
      </c>
      <c r="D365">
        <v>4.0199999999999998E-9</v>
      </c>
      <c r="E365">
        <v>0</v>
      </c>
      <c r="F365" s="1">
        <v>0.248</v>
      </c>
      <c r="G365" s="1">
        <v>1</v>
      </c>
      <c r="H365" s="1">
        <f t="shared" si="110"/>
        <v>4.032258064516129</v>
      </c>
      <c r="I365" s="1"/>
      <c r="J365" s="1" t="s">
        <v>9</v>
      </c>
      <c r="K365">
        <v>8</v>
      </c>
      <c r="L365">
        <v>0.2</v>
      </c>
      <c r="M365">
        <v>4.0199999999999998E-9</v>
      </c>
      <c r="N365" s="1">
        <v>0</v>
      </c>
      <c r="O365" s="1">
        <v>0.248</v>
      </c>
      <c r="P365" s="1">
        <v>1</v>
      </c>
      <c r="Q365" s="1">
        <f t="shared" si="111"/>
        <v>4.032258064516129</v>
      </c>
      <c r="S365" t="s">
        <v>9</v>
      </c>
      <c r="T365">
        <v>8</v>
      </c>
      <c r="U365">
        <v>0.2</v>
      </c>
      <c r="V365">
        <v>4.0199999999999998E-9</v>
      </c>
      <c r="W365">
        <v>0</v>
      </c>
      <c r="X365" s="1">
        <v>0.248</v>
      </c>
      <c r="Y365" s="1">
        <v>1</v>
      </c>
      <c r="Z365" s="1">
        <f t="shared" si="112"/>
        <v>4.032258064516129</v>
      </c>
      <c r="AR365" s="10"/>
      <c r="AS365" s="12"/>
      <c r="AT365" s="12" t="e">
        <f t="shared" si="109"/>
        <v>#DIV/0!</v>
      </c>
      <c r="AU365" s="7">
        <f t="shared" si="113"/>
        <v>1</v>
      </c>
    </row>
    <row r="366" spans="1:54" x14ac:dyDescent="0.35">
      <c r="A366" s="17" t="s">
        <v>7</v>
      </c>
      <c r="B366">
        <v>0.1</v>
      </c>
      <c r="C366">
        <v>0.9</v>
      </c>
      <c r="D366">
        <v>0.41299999999999998</v>
      </c>
      <c r="E366">
        <v>0.41299999999999998</v>
      </c>
      <c r="F366" s="1">
        <v>1E-3</v>
      </c>
      <c r="G366" s="1">
        <v>-1.1000000000000001E-3</v>
      </c>
      <c r="H366" s="1">
        <f t="shared" si="110"/>
        <v>1.1000000000000001</v>
      </c>
      <c r="I366" s="1"/>
      <c r="J366" s="1" t="s">
        <v>7</v>
      </c>
      <c r="K366">
        <v>0.1</v>
      </c>
      <c r="L366">
        <v>0.9</v>
      </c>
      <c r="M366">
        <v>0.41299999999999998</v>
      </c>
      <c r="N366" s="1">
        <v>0.41399999999999998</v>
      </c>
      <c r="O366" s="1">
        <v>1E-3</v>
      </c>
      <c r="P366" s="1">
        <v>-1.2999999999999999E-3</v>
      </c>
      <c r="Q366" s="1">
        <f t="shared" si="111"/>
        <v>1.2999999999999998</v>
      </c>
      <c r="S366" t="s">
        <v>7</v>
      </c>
      <c r="T366">
        <v>0.1</v>
      </c>
      <c r="U366">
        <v>0.9</v>
      </c>
      <c r="V366">
        <v>0.41299999999999998</v>
      </c>
      <c r="W366">
        <v>0.41399999999999998</v>
      </c>
      <c r="X366" s="1">
        <v>1E-3</v>
      </c>
      <c r="Y366" s="1">
        <v>-1.1999999999999999E-3</v>
      </c>
      <c r="Z366" s="1">
        <f t="shared" si="112"/>
        <v>1.2</v>
      </c>
      <c r="AR366" s="10"/>
      <c r="AS366" s="12"/>
      <c r="AT366" s="13">
        <f t="shared" si="109"/>
        <v>1.3956896112561476E-3</v>
      </c>
      <c r="AU366" s="8">
        <f t="shared" si="113"/>
        <v>-1.6142050040354693E-3</v>
      </c>
    </row>
    <row r="367" spans="1:54" x14ac:dyDescent="0.35">
      <c r="A367" s="17" t="s">
        <v>7</v>
      </c>
      <c r="B367">
        <v>0.5</v>
      </c>
      <c r="C367">
        <v>0.9</v>
      </c>
      <c r="D367">
        <v>0.187</v>
      </c>
      <c r="E367">
        <v>0.188</v>
      </c>
      <c r="F367" s="1">
        <v>5.0000000000000001E-3</v>
      </c>
      <c r="G367" s="1">
        <v>-5.5999999999999999E-3</v>
      </c>
      <c r="H367" s="1">
        <f t="shared" si="110"/>
        <v>1.1199999999999999</v>
      </c>
      <c r="I367" s="1"/>
      <c r="J367" s="1" t="s">
        <v>7</v>
      </c>
      <c r="K367">
        <v>0.5</v>
      </c>
      <c r="L367">
        <v>0.9</v>
      </c>
      <c r="M367">
        <v>0.187</v>
      </c>
      <c r="N367" s="1">
        <v>0.188</v>
      </c>
      <c r="O367" s="1">
        <v>5.0000000000000001E-3</v>
      </c>
      <c r="P367" s="1">
        <v>-5.8999999999999999E-3</v>
      </c>
      <c r="Q367" s="1">
        <f t="shared" si="111"/>
        <v>1.18</v>
      </c>
      <c r="S367" t="s">
        <v>7</v>
      </c>
      <c r="T367">
        <v>0.5</v>
      </c>
      <c r="U367">
        <v>0.9</v>
      </c>
      <c r="V367">
        <v>0.187</v>
      </c>
      <c r="W367">
        <v>0.188</v>
      </c>
      <c r="X367" s="1">
        <v>5.0000000000000001E-3</v>
      </c>
      <c r="Y367" s="1">
        <v>-5.7999999999999996E-3</v>
      </c>
      <c r="Z367" s="1">
        <f t="shared" si="112"/>
        <v>1.1599999999999999</v>
      </c>
      <c r="AR367" s="10"/>
      <c r="AS367" s="12"/>
      <c r="AT367" s="13">
        <f t="shared" si="109"/>
        <v>1.808164834455476E-16</v>
      </c>
      <c r="AU367" s="8">
        <f t="shared" si="113"/>
        <v>-5.3475935828878537E-3</v>
      </c>
    </row>
    <row r="368" spans="1:54" x14ac:dyDescent="0.35">
      <c r="A368" s="17" t="s">
        <v>7</v>
      </c>
      <c r="B368">
        <v>1</v>
      </c>
      <c r="C368">
        <v>0.9</v>
      </c>
      <c r="D368">
        <v>6.8500000000000005E-2</v>
      </c>
      <c r="E368">
        <v>6.93E-2</v>
      </c>
      <c r="F368" s="1">
        <v>0.01</v>
      </c>
      <c r="G368" s="1">
        <v>-1.2200000000000001E-2</v>
      </c>
      <c r="H368" s="1">
        <f t="shared" si="110"/>
        <v>1.22</v>
      </c>
      <c r="I368" s="1"/>
      <c r="J368" s="1" t="s">
        <v>7</v>
      </c>
      <c r="K368">
        <v>1</v>
      </c>
      <c r="L368">
        <v>0.9</v>
      </c>
      <c r="M368">
        <v>6.8500000000000005E-2</v>
      </c>
      <c r="N368" s="1">
        <v>6.93E-2</v>
      </c>
      <c r="O368" s="1">
        <v>0.01</v>
      </c>
      <c r="P368" s="1">
        <v>-1.1599999999999999E-2</v>
      </c>
      <c r="Q368" s="1">
        <f t="shared" si="111"/>
        <v>1.1599999999999999</v>
      </c>
      <c r="S368" t="s">
        <v>7</v>
      </c>
      <c r="T368">
        <v>1</v>
      </c>
      <c r="U368">
        <v>0.9</v>
      </c>
      <c r="V368">
        <v>6.8500000000000005E-2</v>
      </c>
      <c r="W368">
        <v>6.93E-2</v>
      </c>
      <c r="X368" s="1">
        <v>0.01</v>
      </c>
      <c r="Y368" s="1">
        <v>-1.1900000000000001E-2</v>
      </c>
      <c r="Z368" s="1">
        <f t="shared" si="112"/>
        <v>1.1900000000000002</v>
      </c>
      <c r="AR368" s="10"/>
      <c r="AS368" s="12"/>
      <c r="AT368" s="13">
        <f t="shared" si="109"/>
        <v>0</v>
      </c>
      <c r="AU368" s="8">
        <f t="shared" si="113"/>
        <v>-1.1678832116788249E-2</v>
      </c>
    </row>
    <row r="369" spans="1:54" x14ac:dyDescent="0.35">
      <c r="A369" s="17" t="s">
        <v>8</v>
      </c>
      <c r="B369">
        <v>0.1</v>
      </c>
      <c r="C369">
        <v>0.9</v>
      </c>
      <c r="D369">
        <v>9.3100000000000002E-2</v>
      </c>
      <c r="E369">
        <v>8.9399999999999993E-2</v>
      </c>
      <c r="F369" s="1">
        <v>2.1000000000000001E-2</v>
      </c>
      <c r="G369" s="1">
        <v>3.9600000000000003E-2</v>
      </c>
      <c r="H369" s="1">
        <f t="shared" si="110"/>
        <v>1.8857142857142857</v>
      </c>
      <c r="I369" s="1"/>
      <c r="J369" s="1" t="s">
        <v>8</v>
      </c>
      <c r="K369">
        <v>0.1</v>
      </c>
      <c r="L369">
        <v>0.9</v>
      </c>
      <c r="M369">
        <v>9.3100000000000002E-2</v>
      </c>
      <c r="N369" s="1">
        <v>8.9499999999999996E-2</v>
      </c>
      <c r="O369" s="1">
        <v>2.1000000000000001E-2</v>
      </c>
      <c r="P369" s="1">
        <v>3.8699999999999998E-2</v>
      </c>
      <c r="Q369" s="1">
        <f t="shared" si="111"/>
        <v>1.8428571428571427</v>
      </c>
      <c r="S369" t="s">
        <v>8</v>
      </c>
      <c r="T369">
        <v>0.1</v>
      </c>
      <c r="U369">
        <v>0.9</v>
      </c>
      <c r="V369">
        <v>9.3100000000000002E-2</v>
      </c>
      <c r="W369">
        <v>8.9499999999999996E-2</v>
      </c>
      <c r="X369" s="1">
        <v>2.1000000000000001E-2</v>
      </c>
      <c r="Y369" s="1">
        <v>3.8199999999999998E-2</v>
      </c>
      <c r="Z369" s="1">
        <f t="shared" si="112"/>
        <v>1.8190476190476188</v>
      </c>
      <c r="AR369" s="10"/>
      <c r="AS369" s="12"/>
      <c r="AT369" s="14">
        <f t="shared" si="109"/>
        <v>6.4532444395265542E-4</v>
      </c>
      <c r="AU369" s="9">
        <f t="shared" si="113"/>
        <v>3.9026136770497849E-2</v>
      </c>
    </row>
    <row r="370" spans="1:54" x14ac:dyDescent="0.35">
      <c r="A370" s="17" t="s">
        <v>8</v>
      </c>
      <c r="B370">
        <v>0.5</v>
      </c>
      <c r="C370">
        <v>0.9</v>
      </c>
      <c r="D370">
        <v>4.6300000000000001E-2</v>
      </c>
      <c r="E370">
        <v>4.4499999999999998E-2</v>
      </c>
      <c r="F370" s="1">
        <v>1.7000000000000001E-2</v>
      </c>
      <c r="G370" s="1">
        <v>3.7999999999999999E-2</v>
      </c>
      <c r="H370" s="1">
        <f t="shared" si="110"/>
        <v>2.2352941176470584</v>
      </c>
      <c r="I370" s="1"/>
      <c r="J370" s="1" t="s">
        <v>8</v>
      </c>
      <c r="K370">
        <v>0.5</v>
      </c>
      <c r="L370">
        <v>0.9</v>
      </c>
      <c r="M370">
        <v>4.6300000000000001E-2</v>
      </c>
      <c r="N370" s="1">
        <v>4.4699999999999997E-2</v>
      </c>
      <c r="O370" s="1">
        <v>1.7000000000000001E-2</v>
      </c>
      <c r="P370" s="1">
        <v>3.5000000000000003E-2</v>
      </c>
      <c r="Q370" s="1">
        <f t="shared" si="111"/>
        <v>2.0588235294117649</v>
      </c>
      <c r="S370" t="s">
        <v>8</v>
      </c>
      <c r="T370">
        <v>0.5</v>
      </c>
      <c r="U370">
        <v>0.9</v>
      </c>
      <c r="V370">
        <v>4.6300000000000001E-2</v>
      </c>
      <c r="W370">
        <v>4.4600000000000001E-2</v>
      </c>
      <c r="X370" s="1">
        <v>1.7000000000000001E-2</v>
      </c>
      <c r="Y370" s="1">
        <v>3.6799999999999999E-2</v>
      </c>
      <c r="Z370" s="1">
        <f t="shared" si="112"/>
        <v>2.164705882352941</v>
      </c>
      <c r="AR370" s="10"/>
      <c r="AS370" s="12"/>
      <c r="AT370" s="14">
        <f t="shared" si="109"/>
        <v>2.2421524663677E-3</v>
      </c>
      <c r="AU370" s="9">
        <f t="shared" si="113"/>
        <v>3.6717062634989354E-2</v>
      </c>
    </row>
    <row r="371" spans="1:54" x14ac:dyDescent="0.35">
      <c r="A371" s="17" t="s">
        <v>8</v>
      </c>
      <c r="B371">
        <v>1</v>
      </c>
      <c r="C371">
        <v>0.9</v>
      </c>
      <c r="D371">
        <v>1.6500000000000001E-2</v>
      </c>
      <c r="E371">
        <v>1.5900000000000001E-2</v>
      </c>
      <c r="F371" s="1">
        <v>1.4E-2</v>
      </c>
      <c r="G371" s="1">
        <v>3.4500000000000003E-2</v>
      </c>
      <c r="H371" s="1">
        <f t="shared" si="110"/>
        <v>2.4642857142857144</v>
      </c>
      <c r="I371" s="1"/>
      <c r="J371" s="1" t="s">
        <v>8</v>
      </c>
      <c r="K371">
        <v>1</v>
      </c>
      <c r="L371">
        <v>0.9</v>
      </c>
      <c r="M371">
        <v>1.6500000000000001E-2</v>
      </c>
      <c r="N371" s="1">
        <v>1.6E-2</v>
      </c>
      <c r="O371" s="1">
        <v>1.4E-2</v>
      </c>
      <c r="P371" s="1">
        <v>3.0800000000000001E-2</v>
      </c>
      <c r="Q371" s="1">
        <f t="shared" si="111"/>
        <v>2.2000000000000002</v>
      </c>
      <c r="S371" t="s">
        <v>8</v>
      </c>
      <c r="T371">
        <v>1</v>
      </c>
      <c r="U371">
        <v>0.9</v>
      </c>
      <c r="V371">
        <v>1.6500000000000001E-2</v>
      </c>
      <c r="W371">
        <v>1.5900000000000001E-2</v>
      </c>
      <c r="X371" s="1">
        <v>1.4E-2</v>
      </c>
      <c r="Y371" s="1">
        <v>3.39E-2</v>
      </c>
      <c r="Z371" s="1">
        <f t="shared" si="112"/>
        <v>2.4214285714285713</v>
      </c>
      <c r="AR371" s="10"/>
      <c r="AS371" s="12"/>
      <c r="AT371" s="14">
        <f t="shared" si="109"/>
        <v>3.623537254328174E-3</v>
      </c>
      <c r="AU371" s="9">
        <f t="shared" si="113"/>
        <v>3.4343434343434558E-2</v>
      </c>
    </row>
    <row r="372" spans="1:54" x14ac:dyDescent="0.35">
      <c r="A372" s="17" t="s">
        <v>9</v>
      </c>
      <c r="B372">
        <v>0.1</v>
      </c>
      <c r="C372">
        <v>0.9</v>
      </c>
      <c r="D372">
        <v>6.9899999999999997E-3</v>
      </c>
      <c r="E372">
        <v>6.9100000000000003E-3</v>
      </c>
      <c r="F372" s="1">
        <v>6.3E-2</v>
      </c>
      <c r="G372" s="1">
        <v>1.1900000000000001E-2</v>
      </c>
      <c r="H372" s="1">
        <f t="shared" si="110"/>
        <v>0.18888888888888891</v>
      </c>
      <c r="I372" s="1"/>
      <c r="J372" s="1" t="s">
        <v>9</v>
      </c>
      <c r="K372">
        <v>0.1</v>
      </c>
      <c r="L372">
        <v>0.9</v>
      </c>
      <c r="M372">
        <v>6.9899999999999997E-3</v>
      </c>
      <c r="N372" s="1">
        <v>6.8900000000000003E-3</v>
      </c>
      <c r="O372" s="1">
        <v>6.3E-2</v>
      </c>
      <c r="P372" s="1">
        <v>1.4800000000000001E-2</v>
      </c>
      <c r="Q372" s="1">
        <f t="shared" si="111"/>
        <v>0.23492063492063492</v>
      </c>
      <c r="S372" t="s">
        <v>9</v>
      </c>
      <c r="T372">
        <v>0.1</v>
      </c>
      <c r="U372">
        <v>0.9</v>
      </c>
      <c r="V372">
        <v>6.9899999999999997E-3</v>
      </c>
      <c r="W372">
        <v>6.9300000000000004E-3</v>
      </c>
      <c r="X372" s="1">
        <v>6.3E-2</v>
      </c>
      <c r="Y372" s="1">
        <v>8.2000000000000007E-3</v>
      </c>
      <c r="Z372" s="1">
        <f t="shared" si="112"/>
        <v>0.13015873015873017</v>
      </c>
      <c r="AR372" s="10"/>
      <c r="AS372" s="12"/>
      <c r="AT372" s="12">
        <f t="shared" si="109"/>
        <v>2.8943560057887196E-3</v>
      </c>
      <c r="AU372" s="7">
        <f t="shared" si="113"/>
        <v>1.1444921316165858E-2</v>
      </c>
    </row>
    <row r="373" spans="1:54" x14ac:dyDescent="0.35">
      <c r="A373" s="17" t="s">
        <v>9</v>
      </c>
      <c r="B373">
        <v>0.5</v>
      </c>
      <c r="C373">
        <v>0.9</v>
      </c>
      <c r="D373">
        <v>3.29E-3</v>
      </c>
      <c r="E373">
        <v>3.1800000000000001E-3</v>
      </c>
      <c r="F373" s="1">
        <v>5.5E-2</v>
      </c>
      <c r="G373" s="1">
        <v>3.3500000000000002E-2</v>
      </c>
      <c r="H373" s="1">
        <f t="shared" si="110"/>
        <v>0.60909090909090913</v>
      </c>
      <c r="I373" s="1"/>
      <c r="J373" s="1" t="s">
        <v>9</v>
      </c>
      <c r="K373">
        <v>0.5</v>
      </c>
      <c r="L373">
        <v>0.9</v>
      </c>
      <c r="M373">
        <v>3.29E-3</v>
      </c>
      <c r="N373" s="1">
        <v>3.16E-3</v>
      </c>
      <c r="O373" s="1">
        <v>5.5E-2</v>
      </c>
      <c r="P373" s="1">
        <v>3.9E-2</v>
      </c>
      <c r="Q373" s="1">
        <f t="shared" si="111"/>
        <v>0.70909090909090911</v>
      </c>
      <c r="S373" t="s">
        <v>9</v>
      </c>
      <c r="T373">
        <v>0.5</v>
      </c>
      <c r="U373">
        <v>0.9</v>
      </c>
      <c r="V373">
        <v>3.29E-3</v>
      </c>
      <c r="W373">
        <v>3.1800000000000001E-3</v>
      </c>
      <c r="X373" s="1">
        <v>5.5E-2</v>
      </c>
      <c r="Y373" s="1">
        <v>3.32E-2</v>
      </c>
      <c r="Z373" s="1">
        <f t="shared" si="112"/>
        <v>0.60363636363636364</v>
      </c>
      <c r="AR373" s="10"/>
      <c r="AS373" s="12"/>
      <c r="AT373" s="12">
        <f t="shared" si="109"/>
        <v>3.6387622007749616E-3</v>
      </c>
      <c r="AU373" s="7">
        <f t="shared" si="113"/>
        <v>3.5460992907801338E-2</v>
      </c>
    </row>
    <row r="374" spans="1:54" x14ac:dyDescent="0.35">
      <c r="A374" s="17" t="s">
        <v>9</v>
      </c>
      <c r="B374">
        <v>1</v>
      </c>
      <c r="C374">
        <v>0.9</v>
      </c>
      <c r="D374">
        <v>1.2099999999999999E-3</v>
      </c>
      <c r="E374">
        <v>1.14E-3</v>
      </c>
      <c r="F374" s="1">
        <v>0.109</v>
      </c>
      <c r="G374" s="1">
        <v>5.8299999999999998E-2</v>
      </c>
      <c r="H374" s="1">
        <f t="shared" si="110"/>
        <v>0.53486238532110086</v>
      </c>
      <c r="I374" s="1"/>
      <c r="J374" s="1" t="s">
        <v>9</v>
      </c>
      <c r="K374">
        <v>1</v>
      </c>
      <c r="L374">
        <v>0.9</v>
      </c>
      <c r="M374">
        <v>1.2099999999999999E-3</v>
      </c>
      <c r="N374" s="1">
        <v>1.16E-3</v>
      </c>
      <c r="O374" s="1">
        <v>0.109</v>
      </c>
      <c r="P374" s="1">
        <v>3.7400000000000003E-2</v>
      </c>
      <c r="Q374" s="1">
        <f t="shared" si="111"/>
        <v>0.34311926605504589</v>
      </c>
      <c r="S374" t="s">
        <v>9</v>
      </c>
      <c r="T374">
        <v>1</v>
      </c>
      <c r="U374">
        <v>0.9</v>
      </c>
      <c r="V374">
        <v>1.2099999999999999E-3</v>
      </c>
      <c r="W374">
        <v>1.16E-3</v>
      </c>
      <c r="X374" s="1">
        <v>0.109</v>
      </c>
      <c r="Y374" s="1">
        <v>4.2799999999999998E-2</v>
      </c>
      <c r="Z374" s="1">
        <f t="shared" si="112"/>
        <v>0.39266055045871556</v>
      </c>
      <c r="AR374" s="10"/>
      <c r="AS374" s="12"/>
      <c r="AT374" s="12">
        <f>STDEV(AO374,AF374,W374,N374,E374)/ AVERAGE(AO374,AF374,W374,N374,E374)</f>
        <v>1.0011854379010879E-2</v>
      </c>
      <c r="AU374" s="7">
        <f t="shared" si="113"/>
        <v>4.6831955922865022E-2</v>
      </c>
    </row>
    <row r="375" spans="1:54" x14ac:dyDescent="0.35">
      <c r="I375" s="1"/>
      <c r="J375" s="1"/>
      <c r="K375" s="1"/>
      <c r="O375" s="1"/>
      <c r="P375" s="1"/>
      <c r="Z375" s="1"/>
      <c r="AR375" s="10"/>
      <c r="AS375" s="12"/>
      <c r="AT375" s="7"/>
      <c r="AU375"/>
    </row>
    <row r="376" spans="1:54" x14ac:dyDescent="0.35">
      <c r="A376" s="6" t="s">
        <v>29</v>
      </c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1"/>
      <c r="Z376" s="1"/>
      <c r="AA376" s="1"/>
      <c r="AN376" s="6" t="s">
        <v>29</v>
      </c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</row>
    <row r="377" spans="1:54" x14ac:dyDescent="0.35">
      <c r="A377" s="17" t="s">
        <v>0</v>
      </c>
      <c r="B377" t="s">
        <v>1</v>
      </c>
      <c r="C377" t="s">
        <v>2</v>
      </c>
      <c r="D377" t="s">
        <v>3</v>
      </c>
      <c r="E377" t="s">
        <v>4</v>
      </c>
      <c r="F377" t="s">
        <v>5</v>
      </c>
      <c r="G377" t="s">
        <v>6</v>
      </c>
      <c r="I377" s="1"/>
      <c r="J377" s="1"/>
      <c r="N377" s="1"/>
      <c r="O377" s="1"/>
      <c r="Y377" s="1"/>
      <c r="Z377" s="1"/>
      <c r="AR377" s="10"/>
      <c r="AS377" s="12"/>
      <c r="AT377" s="7"/>
      <c r="AU377"/>
    </row>
    <row r="378" spans="1:54" x14ac:dyDescent="0.35">
      <c r="A378" s="17" t="s">
        <v>7</v>
      </c>
      <c r="B378">
        <v>0.8</v>
      </c>
      <c r="C378">
        <v>0.2</v>
      </c>
      <c r="D378">
        <v>0.16200000000000001</v>
      </c>
      <c r="E378">
        <v>0.16200000000000001</v>
      </c>
      <c r="F378" s="1">
        <v>0</v>
      </c>
      <c r="G378" s="1">
        <v>-1E-3</v>
      </c>
      <c r="H378" s="1" t="e">
        <f>ABS(G378/F378)</f>
        <v>#DIV/0!</v>
      </c>
      <c r="N378" s="1"/>
      <c r="O378" s="1"/>
      <c r="Y378" s="1"/>
      <c r="Z378" s="1"/>
      <c r="AR378" s="10"/>
      <c r="AS378" s="12"/>
      <c r="AT378" s="7"/>
      <c r="AU378"/>
    </row>
    <row r="379" spans="1:54" x14ac:dyDescent="0.35">
      <c r="A379" s="17" t="s">
        <v>7</v>
      </c>
      <c r="B379">
        <v>4</v>
      </c>
      <c r="C379">
        <v>0.2</v>
      </c>
      <c r="D379">
        <v>2.2699999999999999E-3</v>
      </c>
      <c r="E379">
        <v>2.2799999999999999E-3</v>
      </c>
      <c r="F379" s="1">
        <v>2E-3</v>
      </c>
      <c r="G379" s="1">
        <v>-5.3E-3</v>
      </c>
      <c r="H379" s="1">
        <f t="shared" ref="H379:H395" si="114">ABS(G379/F379)</f>
        <v>2.65</v>
      </c>
      <c r="N379" s="1"/>
      <c r="O379" s="1"/>
      <c r="Y379" s="1"/>
      <c r="Z379" s="1"/>
      <c r="AR379" s="10"/>
      <c r="AS379" s="12"/>
      <c r="AT379" s="7"/>
      <c r="AU379"/>
    </row>
    <row r="380" spans="1:54" x14ac:dyDescent="0.35">
      <c r="A380" s="17" t="s">
        <v>7</v>
      </c>
      <c r="B380">
        <v>8</v>
      </c>
      <c r="C380">
        <v>0.2</v>
      </c>
      <c r="D380">
        <v>1.2999999999999999E-5</v>
      </c>
      <c r="E380">
        <v>1.33E-5</v>
      </c>
      <c r="F380" s="1">
        <v>4.7E-2</v>
      </c>
      <c r="G380" s="1">
        <v>-2.46E-2</v>
      </c>
      <c r="H380" s="1">
        <f t="shared" si="114"/>
        <v>0.52340425531914891</v>
      </c>
      <c r="N380" s="1"/>
      <c r="O380" s="1"/>
      <c r="Y380" s="1"/>
      <c r="Z380" s="1"/>
      <c r="AR380" s="10"/>
      <c r="AS380" s="12"/>
      <c r="AT380" s="7"/>
      <c r="AU380"/>
    </row>
    <row r="381" spans="1:54" x14ac:dyDescent="0.35">
      <c r="A381" s="17" t="s">
        <v>8</v>
      </c>
      <c r="B381">
        <v>0.8</v>
      </c>
      <c r="C381">
        <v>0.2</v>
      </c>
      <c r="D381">
        <v>9.6599999999999995E-4</v>
      </c>
      <c r="E381">
        <v>9.1100000000000003E-4</v>
      </c>
      <c r="F381" s="1">
        <v>2.3E-2</v>
      </c>
      <c r="G381" s="1">
        <v>5.6800000000000003E-2</v>
      </c>
      <c r="H381" s="1">
        <f t="shared" si="114"/>
        <v>2.4695652173913047</v>
      </c>
      <c r="Y381" s="1"/>
      <c r="Z381" s="1"/>
      <c r="AR381" s="10"/>
      <c r="AS381" s="12"/>
      <c r="AT381" s="7"/>
      <c r="AU381"/>
    </row>
    <row r="382" spans="1:54" x14ac:dyDescent="0.35">
      <c r="A382" s="17" t="s">
        <v>8</v>
      </c>
      <c r="B382">
        <v>4</v>
      </c>
      <c r="C382">
        <v>0.2</v>
      </c>
      <c r="D382">
        <v>1.3699999999999999E-5</v>
      </c>
      <c r="E382">
        <v>1.34E-5</v>
      </c>
      <c r="F382" s="1">
        <v>6.3E-2</v>
      </c>
      <c r="G382" s="1">
        <v>1.9699999999999999E-2</v>
      </c>
      <c r="H382" s="1">
        <f t="shared" si="114"/>
        <v>0.3126984126984127</v>
      </c>
      <c r="AR382" s="10"/>
      <c r="AS382" s="12"/>
      <c r="AT382" s="7"/>
      <c r="AU382"/>
    </row>
    <row r="383" spans="1:54" x14ac:dyDescent="0.35">
      <c r="A383" s="17" t="s">
        <v>8</v>
      </c>
      <c r="B383">
        <v>8</v>
      </c>
      <c r="C383">
        <v>0.2</v>
      </c>
      <c r="D383">
        <v>7.2800000000000003E-8</v>
      </c>
      <c r="E383">
        <v>1E-8</v>
      </c>
      <c r="F383" s="1">
        <v>0.187</v>
      </c>
      <c r="G383" s="1">
        <v>0.86260000000000003</v>
      </c>
      <c r="H383" s="1">
        <f t="shared" si="114"/>
        <v>4.6128342245989309</v>
      </c>
      <c r="AR383" s="10"/>
      <c r="AS383" s="12"/>
      <c r="AT383" s="7"/>
      <c r="AU383"/>
    </row>
    <row r="384" spans="1:54" x14ac:dyDescent="0.35">
      <c r="A384" s="17" t="s">
        <v>9</v>
      </c>
      <c r="B384">
        <v>0.8</v>
      </c>
      <c r="C384">
        <v>0.2</v>
      </c>
      <c r="D384">
        <v>5.4700000000000001E-5</v>
      </c>
      <c r="E384">
        <v>5.6100000000000002E-5</v>
      </c>
      <c r="F384" s="1">
        <v>0.06</v>
      </c>
      <c r="G384" s="1">
        <v>-2.5600000000000001E-2</v>
      </c>
      <c r="H384" s="1">
        <f t="shared" si="114"/>
        <v>0.42666666666666669</v>
      </c>
      <c r="AR384" s="10"/>
      <c r="AS384" s="12"/>
      <c r="AT384" s="7"/>
      <c r="AU384"/>
    </row>
    <row r="385" spans="1:47" x14ac:dyDescent="0.35">
      <c r="A385" s="17" t="s">
        <v>9</v>
      </c>
      <c r="B385">
        <v>4</v>
      </c>
      <c r="C385">
        <v>0.2</v>
      </c>
      <c r="D385">
        <v>6.2399999999999998E-7</v>
      </c>
      <c r="E385">
        <v>7.4000000000000001E-7</v>
      </c>
      <c r="F385" s="1">
        <v>0.35499999999999998</v>
      </c>
      <c r="G385" s="1">
        <v>-0.18590000000000001</v>
      </c>
      <c r="H385" s="1">
        <f t="shared" si="114"/>
        <v>0.52366197183098595</v>
      </c>
      <c r="AR385" s="10"/>
      <c r="AS385" s="12"/>
      <c r="AT385" s="7"/>
      <c r="AU385"/>
    </row>
    <row r="386" spans="1:47" x14ac:dyDescent="0.35">
      <c r="A386" s="17" t="s">
        <v>9</v>
      </c>
      <c r="B386">
        <v>8</v>
      </c>
      <c r="C386">
        <v>0.2</v>
      </c>
      <c r="D386">
        <v>4.0199999999999998E-9</v>
      </c>
      <c r="E386">
        <v>0</v>
      </c>
      <c r="F386" s="1">
        <v>0.248</v>
      </c>
      <c r="G386" s="1">
        <v>1</v>
      </c>
      <c r="H386" s="1">
        <f t="shared" si="114"/>
        <v>4.032258064516129</v>
      </c>
      <c r="AR386" s="10"/>
      <c r="AS386" s="12"/>
      <c r="AT386" s="7"/>
      <c r="AU386"/>
    </row>
    <row r="387" spans="1:47" x14ac:dyDescent="0.35">
      <c r="A387" s="17" t="s">
        <v>7</v>
      </c>
      <c r="B387">
        <v>0.1</v>
      </c>
      <c r="C387">
        <v>0.9</v>
      </c>
      <c r="D387">
        <v>0.41299999999999998</v>
      </c>
      <c r="E387">
        <v>0.41299999999999998</v>
      </c>
      <c r="F387" s="1">
        <v>1E-3</v>
      </c>
      <c r="G387" s="1">
        <v>-1.1999999999999999E-3</v>
      </c>
      <c r="H387" s="1">
        <f t="shared" si="114"/>
        <v>1.2</v>
      </c>
      <c r="AR387" s="10"/>
      <c r="AS387" s="12"/>
      <c r="AT387" s="7"/>
      <c r="AU387"/>
    </row>
    <row r="388" spans="1:47" x14ac:dyDescent="0.35">
      <c r="A388" s="17" t="s">
        <v>7</v>
      </c>
      <c r="B388">
        <v>0.5</v>
      </c>
      <c r="C388">
        <v>0.9</v>
      </c>
      <c r="D388">
        <v>0.187</v>
      </c>
      <c r="E388">
        <v>0.188</v>
      </c>
      <c r="F388" s="1">
        <v>5.0000000000000001E-3</v>
      </c>
      <c r="G388" s="1">
        <v>-5.8999999999999999E-3</v>
      </c>
      <c r="H388" s="1">
        <f t="shared" si="114"/>
        <v>1.18</v>
      </c>
      <c r="AR388" s="10"/>
      <c r="AS388" s="12"/>
      <c r="AT388" s="7"/>
      <c r="AU388"/>
    </row>
    <row r="389" spans="1:47" x14ac:dyDescent="0.35">
      <c r="A389" s="17" t="s">
        <v>7</v>
      </c>
      <c r="B389">
        <v>1</v>
      </c>
      <c r="C389">
        <v>0.9</v>
      </c>
      <c r="D389">
        <v>6.8500000000000005E-2</v>
      </c>
      <c r="E389">
        <v>6.9400000000000003E-2</v>
      </c>
      <c r="F389" s="1">
        <v>0.01</v>
      </c>
      <c r="G389" s="1">
        <v>-1.2500000000000001E-2</v>
      </c>
      <c r="H389" s="1">
        <f t="shared" si="114"/>
        <v>1.25</v>
      </c>
      <c r="AR389" s="10"/>
      <c r="AS389" s="12"/>
      <c r="AT389" s="7"/>
      <c r="AU389"/>
    </row>
    <row r="390" spans="1:47" x14ac:dyDescent="0.35">
      <c r="A390" s="17" t="s">
        <v>8</v>
      </c>
      <c r="B390">
        <v>0.1</v>
      </c>
      <c r="C390">
        <v>0.9</v>
      </c>
      <c r="D390">
        <v>9.3100000000000002E-2</v>
      </c>
      <c r="E390">
        <v>8.8400000000000006E-2</v>
      </c>
      <c r="F390" s="1">
        <v>2.1000000000000001E-2</v>
      </c>
      <c r="G390" s="1">
        <v>5.04E-2</v>
      </c>
      <c r="H390" s="1">
        <f t="shared" si="114"/>
        <v>2.4</v>
      </c>
      <c r="AR390" s="10"/>
      <c r="AS390" s="12"/>
      <c r="AT390" s="7"/>
      <c r="AU390"/>
    </row>
    <row r="391" spans="1:47" x14ac:dyDescent="0.35">
      <c r="A391" s="17" t="s">
        <v>8</v>
      </c>
      <c r="B391">
        <v>0.5</v>
      </c>
      <c r="C391">
        <v>0.9</v>
      </c>
      <c r="D391">
        <v>4.6300000000000001E-2</v>
      </c>
      <c r="E391">
        <v>4.3999999999999997E-2</v>
      </c>
      <c r="F391" s="1">
        <v>1.7000000000000001E-2</v>
      </c>
      <c r="G391" s="1">
        <v>4.99E-2</v>
      </c>
      <c r="H391" s="1">
        <f t="shared" si="114"/>
        <v>2.9352941176470586</v>
      </c>
      <c r="AR391" s="10"/>
      <c r="AS391" s="12"/>
      <c r="AT391" s="7"/>
      <c r="AU391"/>
    </row>
    <row r="392" spans="1:47" x14ac:dyDescent="0.35">
      <c r="A392" s="17" t="s">
        <v>8</v>
      </c>
      <c r="B392">
        <v>1</v>
      </c>
      <c r="C392">
        <v>0.9</v>
      </c>
      <c r="D392">
        <v>1.6500000000000001E-2</v>
      </c>
      <c r="E392">
        <v>1.5699999999999999E-2</v>
      </c>
      <c r="F392" s="1">
        <v>1.4E-2</v>
      </c>
      <c r="G392" s="1">
        <v>4.8899999999999999E-2</v>
      </c>
      <c r="H392" s="1">
        <f t="shared" si="114"/>
        <v>3.4928571428571429</v>
      </c>
      <c r="AR392" s="10"/>
      <c r="AS392" s="12"/>
      <c r="AT392" s="7"/>
      <c r="AU392"/>
    </row>
    <row r="393" spans="1:47" x14ac:dyDescent="0.35">
      <c r="A393" s="17" t="s">
        <v>9</v>
      </c>
      <c r="B393">
        <v>0.1</v>
      </c>
      <c r="C393">
        <v>0.9</v>
      </c>
      <c r="D393">
        <v>6.9899999999999997E-3</v>
      </c>
      <c r="E393">
        <v>6.9199999999999999E-3</v>
      </c>
      <c r="F393" s="1">
        <v>6.3E-2</v>
      </c>
      <c r="G393" s="1">
        <v>9.7000000000000003E-3</v>
      </c>
      <c r="H393" s="1">
        <f t="shared" si="114"/>
        <v>0.15396825396825398</v>
      </c>
      <c r="AR393" s="10"/>
      <c r="AS393" s="12"/>
      <c r="AT393" s="7"/>
      <c r="AU393"/>
    </row>
    <row r="394" spans="1:47" x14ac:dyDescent="0.35">
      <c r="A394" s="17" t="s">
        <v>9</v>
      </c>
      <c r="B394">
        <v>0.5</v>
      </c>
      <c r="C394">
        <v>0.9</v>
      </c>
      <c r="D394">
        <v>3.29E-3</v>
      </c>
      <c r="E394">
        <v>3.2000000000000002E-3</v>
      </c>
      <c r="F394" s="1">
        <v>5.5E-2</v>
      </c>
      <c r="G394" s="1">
        <v>2.6800000000000001E-2</v>
      </c>
      <c r="H394" s="1">
        <f t="shared" si="114"/>
        <v>0.4872727272727273</v>
      </c>
      <c r="AR394" s="10"/>
      <c r="AS394" s="12"/>
      <c r="AT394" s="7"/>
      <c r="AU394"/>
    </row>
    <row r="395" spans="1:47" x14ac:dyDescent="0.35">
      <c r="A395" s="17" t="s">
        <v>9</v>
      </c>
      <c r="B395">
        <v>1</v>
      </c>
      <c r="C395">
        <v>0.9</v>
      </c>
      <c r="D395">
        <v>1.2099999999999999E-3</v>
      </c>
      <c r="E395">
        <v>1.17E-3</v>
      </c>
      <c r="F395" s="1">
        <v>0.109</v>
      </c>
      <c r="G395" s="1">
        <v>3.39E-2</v>
      </c>
      <c r="H395" s="1">
        <f t="shared" si="114"/>
        <v>0.3110091743119266</v>
      </c>
      <c r="AR395" s="10"/>
      <c r="AS395" s="12"/>
      <c r="AT395" s="7"/>
      <c r="AU395"/>
    </row>
    <row r="396" spans="1:47" x14ac:dyDescent="0.35">
      <c r="AR396" s="10"/>
      <c r="AS396" s="12"/>
      <c r="AT396" s="7"/>
      <c r="AU396"/>
    </row>
  </sheetData>
  <mergeCells count="36">
    <mergeCell ref="AN61:AU61"/>
    <mergeCell ref="AN40:AU40"/>
    <mergeCell ref="AN20:AU20"/>
    <mergeCell ref="AN166:AU166"/>
    <mergeCell ref="AN145:AU145"/>
    <mergeCell ref="AN124:AU124"/>
    <mergeCell ref="AN103:AU103"/>
    <mergeCell ref="AN82:AU82"/>
    <mergeCell ref="AN271:BB271"/>
    <mergeCell ref="AN250:BB250"/>
    <mergeCell ref="AN230:BB230"/>
    <mergeCell ref="AN208:AU208"/>
    <mergeCell ref="AN187:AU187"/>
    <mergeCell ref="AN376:BB376"/>
    <mergeCell ref="AN356:BB356"/>
    <mergeCell ref="AN334:BB334"/>
    <mergeCell ref="AN313:BB313"/>
    <mergeCell ref="AN292:BB292"/>
    <mergeCell ref="A292:O292"/>
    <mergeCell ref="A313:O313"/>
    <mergeCell ref="A334:O334"/>
    <mergeCell ref="A355:O355"/>
    <mergeCell ref="A376:O376"/>
    <mergeCell ref="A208:H208"/>
    <mergeCell ref="A271:O271"/>
    <mergeCell ref="A229:O229"/>
    <mergeCell ref="A250:O250"/>
    <mergeCell ref="A145:H145"/>
    <mergeCell ref="A166:H166"/>
    <mergeCell ref="A187:H187"/>
    <mergeCell ref="A40:H40"/>
    <mergeCell ref="A20:H20"/>
    <mergeCell ref="A61:H61"/>
    <mergeCell ref="A82:H82"/>
    <mergeCell ref="A103:H103"/>
    <mergeCell ref="A124:H124"/>
  </mergeCells>
  <conditionalFormatting sqref="H1:H19 Q1:Q20 Z1:Z20 AI1:AI20 P21:P38 Y21:Y38 AH21:AH38 G21:H39 Q22:Q40 Z22:Z40 AI22:AI40 P41:P58 Y41:Y58 AH41:AH58 G41:G59 H42:H60 Q42:Q61 Z42:Z61 AI42:AI61 P62:P79 Y62:Y79 AH62:AH79 G62:G80 H63:H81 Q63:Q82 Z63:Z82 AI63:AI82 Y83:Y99 P83:P100 AH83:AH100 G83:G101 H84:H102 Q84:Q103 Z84:Z103 AI84:AI103 Y104:Y120 P104:P121 AH104:AH121 G104:G122 H105:H123 Q105:Q124 Z105:Z124 AI105:AI124 P125:P142 Y125:Y142 AH125:AH142 G125:G143 H126:H144 Q126:Q145 Z126:Z145 AI126:AI145 P146:P163 Y146:Y163 AH146:AH163 G146:G164 H147:H165 Q147:Q166 Z147:Z166 AI147:AI166 P167:P184 Y167:Y184 AH167:AH184 G167:G185 H168:H186 Q168:Q187 Z168:Z187 AI168:AI187 G188:G206 H189:H207 P188:P205 Y188:Y205 AH188:AH205 Q189:Q208 Z189:Z208 AI189:AI208 G209:G227 P209:P226 Y209:Y226 AH209:AH226 H210:H228 Q210:Q229 Z210:Z229 AI210:AI229 G230:G248 P230:P247 Y230:Y247 AH230:AH247 H231:H249 Q231:Q250 Z231:Z250 AI231:AI250 G251:G269 H252:H270 P251:P268 Y251:Y268 Q270:Q271 Z270:Z271 AI252:AI271 G272:G290 H273:H291 P272:P290 Y272:Y289 AH272:AH290 Q292 Z292 AI292 P310 Y310 AH311 H312 AG293:AG310 F293:F310 G294:H311 O293:O309 X293:X309 AI312:AI313 Q294:Q313 Z294:Z313 AH314:AH332 Y314:Y332 G314:G332 H315:H333 P314:P331 AI333:AI334 Z333:Z334 Q315:Q334 G335 P335 Y335 AH335:AH353 AI355 AH356:AH375 Z355 Q355 G356:G374 P356:P374 Y356:Y374 AI376 AI397:AI1048576 AH377:AH396 Z376 Z397:Z1048576 Y377:Y396 Q376 Q397:Q1048576 P377:P396 H397:H1048576 G377:G395">
    <cfRule type="cellIs" dxfId="51" priority="61" operator="greaterThan">
      <formula>1</formula>
    </cfRule>
    <cfRule type="cellIs" dxfId="50" priority="62" operator="greaterThan">
      <formula>100</formula>
    </cfRule>
  </conditionalFormatting>
  <conditionalFormatting sqref="AR22:AR39">
    <cfRule type="cellIs" dxfId="49" priority="53" operator="greaterThan">
      <formula>1</formula>
    </cfRule>
    <cfRule type="cellIs" dxfId="48" priority="54" operator="greaterThan">
      <formula>100</formula>
    </cfRule>
  </conditionalFormatting>
  <conditionalFormatting sqref="AR42:AR59">
    <cfRule type="cellIs" dxfId="47" priority="51" operator="greaterThan">
      <formula>1</formula>
    </cfRule>
    <cfRule type="cellIs" dxfId="46" priority="52" operator="greaterThan">
      <formula>100</formula>
    </cfRule>
  </conditionalFormatting>
  <conditionalFormatting sqref="AR62:AR80">
    <cfRule type="cellIs" dxfId="45" priority="47" operator="greaterThan">
      <formula>1</formula>
    </cfRule>
    <cfRule type="cellIs" dxfId="44" priority="48" operator="greaterThan">
      <formula>100</formula>
    </cfRule>
  </conditionalFormatting>
  <conditionalFormatting sqref="AR84:AR101">
    <cfRule type="cellIs" dxfId="43" priority="45" operator="greaterThan">
      <formula>1</formula>
    </cfRule>
    <cfRule type="cellIs" dxfId="42" priority="46" operator="greaterThan">
      <formula>100</formula>
    </cfRule>
  </conditionalFormatting>
  <conditionalFormatting sqref="AR105:AR122">
    <cfRule type="cellIs" dxfId="41" priority="41" operator="greaterThan">
      <formula>1</formula>
    </cfRule>
    <cfRule type="cellIs" dxfId="40" priority="42" operator="greaterThan">
      <formula>100</formula>
    </cfRule>
  </conditionalFormatting>
  <conditionalFormatting sqref="AR126:AR143">
    <cfRule type="cellIs" dxfId="39" priority="39" operator="greaterThan">
      <formula>1</formula>
    </cfRule>
    <cfRule type="cellIs" dxfId="38" priority="40" operator="greaterThan">
      <formula>100</formula>
    </cfRule>
  </conditionalFormatting>
  <conditionalFormatting sqref="AR147:AR164">
    <cfRule type="cellIs" dxfId="37" priority="37" operator="greaterThan">
      <formula>1</formula>
    </cfRule>
    <cfRule type="cellIs" dxfId="36" priority="38" operator="greaterThan">
      <formula>100</formula>
    </cfRule>
  </conditionalFormatting>
  <conditionalFormatting sqref="AR189:AR206">
    <cfRule type="cellIs" dxfId="35" priority="35" operator="greaterThan">
      <formula>1</formula>
    </cfRule>
    <cfRule type="cellIs" dxfId="34" priority="36" operator="greaterThan">
      <formula>100</formula>
    </cfRule>
  </conditionalFormatting>
  <conditionalFormatting sqref="AR210:AR227">
    <cfRule type="cellIs" dxfId="33" priority="33" operator="greaterThan">
      <formula>1</formula>
    </cfRule>
    <cfRule type="cellIs" dxfId="32" priority="34" operator="greaterThan">
      <formula>100</formula>
    </cfRule>
  </conditionalFormatting>
  <conditionalFormatting sqref="Q252:Q269">
    <cfRule type="cellIs" dxfId="31" priority="31" operator="greaterThan">
      <formula>1</formula>
    </cfRule>
    <cfRule type="cellIs" dxfId="30" priority="32" operator="greaterThan">
      <formula>100</formula>
    </cfRule>
  </conditionalFormatting>
  <conditionalFormatting sqref="Z252:Z269">
    <cfRule type="cellIs" dxfId="29" priority="29" operator="greaterThan">
      <formula>1</formula>
    </cfRule>
    <cfRule type="cellIs" dxfId="28" priority="30" operator="greaterThan">
      <formula>100</formula>
    </cfRule>
  </conditionalFormatting>
  <conditionalFormatting sqref="Q273:Q290">
    <cfRule type="cellIs" dxfId="27" priority="27" operator="greaterThan">
      <formula>1</formula>
    </cfRule>
    <cfRule type="cellIs" dxfId="26" priority="28" operator="greaterThan">
      <formula>100</formula>
    </cfRule>
  </conditionalFormatting>
  <conditionalFormatting sqref="Z273:Z290">
    <cfRule type="cellIs" dxfId="25" priority="25" operator="greaterThan">
      <formula>1</formula>
    </cfRule>
    <cfRule type="cellIs" dxfId="24" priority="26" operator="greaterThan">
      <formula>100</formula>
    </cfRule>
  </conditionalFormatting>
  <conditionalFormatting sqref="AI273:AI290">
    <cfRule type="cellIs" dxfId="23" priority="23" operator="greaterThan">
      <formula>1</formula>
    </cfRule>
    <cfRule type="cellIs" dxfId="22" priority="24" operator="greaterThan">
      <formula>100</formula>
    </cfRule>
  </conditionalFormatting>
  <conditionalFormatting sqref="AR273:AR290">
    <cfRule type="cellIs" dxfId="21" priority="21" operator="greaterThan">
      <formula>1</formula>
    </cfRule>
    <cfRule type="cellIs" dxfId="20" priority="22" operator="greaterThan">
      <formula>100</formula>
    </cfRule>
  </conditionalFormatting>
  <conditionalFormatting sqref="H336:H353">
    <cfRule type="cellIs" dxfId="19" priority="19" operator="greaterThan">
      <formula>1</formula>
    </cfRule>
    <cfRule type="cellIs" dxfId="18" priority="20" operator="greaterThan">
      <formula>100</formula>
    </cfRule>
  </conditionalFormatting>
  <conditionalFormatting sqref="Q336:Q353">
    <cfRule type="cellIs" dxfId="17" priority="17" operator="greaterThan">
      <formula>1</formula>
    </cfRule>
    <cfRule type="cellIs" dxfId="16" priority="18" operator="greaterThan">
      <formula>100</formula>
    </cfRule>
  </conditionalFormatting>
  <conditionalFormatting sqref="Z335:Z353">
    <cfRule type="cellIs" dxfId="15" priority="15" operator="greaterThan">
      <formula>1</formula>
    </cfRule>
    <cfRule type="cellIs" dxfId="14" priority="16" operator="greaterThan">
      <formula>100</formula>
    </cfRule>
  </conditionalFormatting>
  <conditionalFormatting sqref="AI336:AI353">
    <cfRule type="cellIs" dxfId="13" priority="13" operator="greaterThan">
      <formula>1</formula>
    </cfRule>
    <cfRule type="cellIs" dxfId="12" priority="14" operator="greaterThan">
      <formula>100</formula>
    </cfRule>
  </conditionalFormatting>
  <conditionalFormatting sqref="D336:D353">
    <cfRule type="cellIs" dxfId="11" priority="11" operator="greaterThan">
      <formula>1</formula>
    </cfRule>
    <cfRule type="cellIs" dxfId="10" priority="12" operator="greaterThan">
      <formula>100</formula>
    </cfRule>
  </conditionalFormatting>
  <conditionalFormatting sqref="X336:X353">
    <cfRule type="cellIs" dxfId="9" priority="9" operator="greaterThan">
      <formula>1</formula>
    </cfRule>
    <cfRule type="cellIs" dxfId="8" priority="10" operator="greaterThan">
      <formula>100</formula>
    </cfRule>
  </conditionalFormatting>
  <conditionalFormatting sqref="H357:H374">
    <cfRule type="cellIs" dxfId="7" priority="7" operator="greaterThan">
      <formula>1</formula>
    </cfRule>
    <cfRule type="cellIs" dxfId="6" priority="8" operator="greaterThan">
      <formula>100</formula>
    </cfRule>
  </conditionalFormatting>
  <conditionalFormatting sqref="Q357:Q374">
    <cfRule type="cellIs" dxfId="5" priority="5" operator="greaterThan">
      <formula>1</formula>
    </cfRule>
    <cfRule type="cellIs" dxfId="4" priority="6" operator="greaterThan">
      <formula>100</formula>
    </cfRule>
  </conditionalFormatting>
  <conditionalFormatting sqref="Z357:Z374">
    <cfRule type="cellIs" dxfId="3" priority="3" operator="greaterThan">
      <formula>1</formula>
    </cfRule>
    <cfRule type="cellIs" dxfId="2" priority="4" operator="greaterThan">
      <formula>100</formula>
    </cfRule>
  </conditionalFormatting>
  <conditionalFormatting sqref="H378:H395">
    <cfRule type="cellIs" dxfId="1" priority="1" operator="greaterThan">
      <formula>1</formula>
    </cfRule>
    <cfRule type="cellIs" dxfId="0" priority="2" operator="greaterThan">
      <formula>100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problem2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Manny Gimond</dc:creator>
  <cp:lastModifiedBy>Manny Gimond</cp:lastModifiedBy>
  <dcterms:created xsi:type="dcterms:W3CDTF">2025-12-22T23:56:43Z</dcterms:created>
  <dcterms:modified xsi:type="dcterms:W3CDTF">2025-12-23T23:10:53Z</dcterms:modified>
</cp:coreProperties>
</file>